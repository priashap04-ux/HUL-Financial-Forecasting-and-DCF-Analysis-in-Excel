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hp\Desktop\FinProject\"/>
    </mc:Choice>
  </mc:AlternateContent>
  <xr:revisionPtr revIDLastSave="0" documentId="13_ncr:1_{826F4C2C-30DA-4ABE-89C5-482D8893A3A4}" xr6:coauthVersionLast="47" xr6:coauthVersionMax="47" xr10:uidLastSave="{00000000-0000-0000-0000-000000000000}"/>
  <bookViews>
    <workbookView xWindow="5760" yWindow="3396" windowWidth="17280" windowHeight="8964" xr2:uid="{00000000-000D-0000-FFFF-FFFF00000000}"/>
  </bookViews>
  <sheets>
    <sheet name="Cover" sheetId="1" r:id="rId1"/>
    <sheet name="Dashboard" sheetId="8" r:id="rId2"/>
    <sheet name="Ratio_Analysis" sheetId="14" r:id="rId3"/>
    <sheet name=" DCF" sheetId="7" r:id="rId4"/>
    <sheet name="3Stmt_Model" sheetId="6" r:id="rId5"/>
    <sheet name="Historical_CF" sheetId="5" r:id="rId6"/>
    <sheet name="Historical_BS" sheetId="4" r:id="rId7"/>
    <sheet name="Historical_IS" sheetId="3" r:id="rId8"/>
    <sheet name="Assumptions" sheetId="2" r:id="rId9"/>
    <sheet name="Sheet8" sheetId="16" r:id="rId10"/>
    <sheet name="Sheet9" sheetId="17" r:id="rId11"/>
  </sheets>
  <definedNames>
    <definedName name="_xlchart.v1.0" hidden="1">Sheet9!$B$35:$B$37</definedName>
    <definedName name="_xlchart.v1.1" hidden="1">Sheet9!$C$34</definedName>
    <definedName name="_xlchart.v1.2" hidden="1">Sheet9!$C$35:$C$37</definedName>
    <definedName name="_xlchart.v1.3" hidden="1">Sheet9!$B$35:$B$37</definedName>
    <definedName name="_xlchart.v1.4" hidden="1">Sheet9!$C$34</definedName>
    <definedName name="_xlchart.v1.5" hidden="1">Sheet9!$C$35:$C$37</definedName>
    <definedName name="Income_Statement">'3Stmt_Model'!$B$4:$M$15</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6" i="6" l="1"/>
  <c r="C38" i="7"/>
</calcChain>
</file>

<file path=xl/sharedStrings.xml><?xml version="1.0" encoding="utf-8"?>
<sst xmlns="http://schemas.openxmlformats.org/spreadsheetml/2006/main" count="550" uniqueCount="295">
  <si>
    <t>FY25</t>
  </si>
  <si>
    <t>FY21</t>
  </si>
  <si>
    <t>FY22</t>
  </si>
  <si>
    <t>FY23</t>
  </si>
  <si>
    <t>FY24</t>
  </si>
  <si>
    <t>Notes</t>
  </si>
  <si>
    <t>Revenue</t>
  </si>
  <si>
    <t>EBIT</t>
  </si>
  <si>
    <t>Total Assets</t>
  </si>
  <si>
    <t>Equity</t>
  </si>
  <si>
    <t>Total Liabilities</t>
  </si>
  <si>
    <t>CapEx</t>
  </si>
  <si>
    <t>Particulars</t>
  </si>
  <si>
    <t>Revenue from Operations</t>
  </si>
  <si>
    <t>Other Income</t>
  </si>
  <si>
    <t>Total Income</t>
  </si>
  <si>
    <t>Cost of Materials Consumed</t>
  </si>
  <si>
    <t>Purchases of Stock-in-Trade</t>
  </si>
  <si>
    <t>Changes in Inventories</t>
  </si>
  <si>
    <t>Employee Benefits Expense</t>
  </si>
  <si>
    <t>Other Expenses</t>
  </si>
  <si>
    <t>EBITDA</t>
  </si>
  <si>
    <t>Depreciation &amp; Amortisation</t>
  </si>
  <si>
    <t>Finance Cost</t>
  </si>
  <si>
    <t>Profit Before Tax</t>
  </si>
  <si>
    <t>Tax Expense</t>
  </si>
  <si>
    <t>Profit After Tax (PAT)</t>
  </si>
  <si>
    <t>ASSETS</t>
  </si>
  <si>
    <t>Non-Current Assets</t>
  </si>
  <si>
    <t>Property, Plant &amp; Equipment</t>
  </si>
  <si>
    <t>Intangible Assets &amp; Goodwill</t>
  </si>
  <si>
    <t>Investments</t>
  </si>
  <si>
    <t>Other Non-Current Assets</t>
  </si>
  <si>
    <t>Current Assets</t>
  </si>
  <si>
    <t>Inventories</t>
  </si>
  <si>
    <t>Trade Receivables</t>
  </si>
  <si>
    <t>Cash &amp; Bank Balances</t>
  </si>
  <si>
    <t>Other Current Assets</t>
  </si>
  <si>
    <t>Share Capital</t>
  </si>
  <si>
    <t>Reserves &amp; Surplus</t>
  </si>
  <si>
    <t>Non-Current Liabilities</t>
  </si>
  <si>
    <t>Provisions &amp; Deferred Tax</t>
  </si>
  <si>
    <t>Current Liabilities</t>
  </si>
  <si>
    <t>Trade Payables</t>
  </si>
  <si>
    <t>Other Current Liabilities</t>
  </si>
  <si>
    <t>Total Equity + Liabilities</t>
  </si>
  <si>
    <t>Equity &amp; Liabilities</t>
  </si>
  <si>
    <t>Cash Flow from Operations</t>
  </si>
  <si>
    <t>Depreciation</t>
  </si>
  <si>
    <t>Working Capital Changes</t>
  </si>
  <si>
    <t>Cash Flow from Investing</t>
  </si>
  <si>
    <t>Cash Flow from Financing</t>
  </si>
  <si>
    <t>Dividends Paid</t>
  </si>
  <si>
    <t>Net Increase in Cash</t>
  </si>
  <si>
    <t>Category</t>
  </si>
  <si>
    <t>Assumption</t>
  </si>
  <si>
    <t>FY26E</t>
  </si>
  <si>
    <t>FY27E</t>
  </si>
  <si>
    <t>FY28E</t>
  </si>
  <si>
    <t>FY29E</t>
  </si>
  <si>
    <t>FY30E</t>
  </si>
  <si>
    <t>Operating</t>
  </si>
  <si>
    <t>Revenue Growth (%)</t>
  </si>
  <si>
    <t>Slight tapering as business matures</t>
  </si>
  <si>
    <t>EBITDA Margin (%)</t>
  </si>
  <si>
    <t>Premiumisation + operating leverage</t>
  </si>
  <si>
    <t>Depreciation (% of Revenue)</t>
  </si>
  <si>
    <t>Stable asset-light model</t>
  </si>
  <si>
    <t>Cash Flow</t>
  </si>
  <si>
    <t>Capex (% of Revenue)</t>
  </si>
  <si>
    <t>Slight reinvestment for growth</t>
  </si>
  <si>
    <t>Working Capital</t>
  </si>
  <si>
    <t>NWC (% of Revenue)</t>
  </si>
  <si>
    <t>Negative WC advantage (payables &gt; receivables)</t>
  </si>
  <si>
    <t>Tax</t>
  </si>
  <si>
    <t>Tax Rate (%)</t>
  </si>
  <si>
    <t>Stable corporate tax regime</t>
  </si>
  <si>
    <t>Valuation</t>
  </si>
  <si>
    <t>Risk-Free Rate (%)</t>
  </si>
  <si>
    <t>Based on India 10Y govt bond</t>
  </si>
  <si>
    <t>Equity Risk Premium (%)</t>
  </si>
  <si>
    <t>Standard India ERP</t>
  </si>
  <si>
    <t>Beta</t>
  </si>
  <si>
    <t>Low volatility FMCG stock</t>
  </si>
  <si>
    <t>Terminal Growth (%)</t>
  </si>
  <si>
    <t>Long-term GDP + inflation proxy</t>
  </si>
  <si>
    <t>Cash Flow Statement (₹ Cr)</t>
  </si>
  <si>
    <t>Income Statement (₹ Cr)</t>
  </si>
  <si>
    <t>Balance Sheet (₹ Cr)</t>
  </si>
  <si>
    <t>Assets</t>
  </si>
  <si>
    <t>PBT</t>
  </si>
  <si>
    <t>Total Equity</t>
  </si>
  <si>
    <t>FY20</t>
  </si>
  <si>
    <t>Growth %</t>
  </si>
  <si>
    <t>EBITDA Margin %</t>
  </si>
  <si>
    <t>Tax Rate %</t>
  </si>
  <si>
    <t>PAT</t>
  </si>
  <si>
    <t>CFO</t>
  </si>
  <si>
    <t>Capex</t>
  </si>
  <si>
    <t>CFI</t>
  </si>
  <si>
    <t>Other Financing</t>
  </si>
  <si>
    <t>CFF</t>
  </si>
  <si>
    <t>PP&amp;E</t>
  </si>
  <si>
    <t>Intangibles</t>
  </si>
  <si>
    <t>Total Non-Current Assets</t>
  </si>
  <si>
    <t>Receivables</t>
  </si>
  <si>
    <t>Cash</t>
  </si>
  <si>
    <t>Total Current Assets</t>
  </si>
  <si>
    <t>Reserves</t>
  </si>
  <si>
    <t>Revenuet​=Revenuet−1​×(1+g)</t>
  </si>
  <si>
    <t>EBITDA=Revenue×EBITDA Margin</t>
  </si>
  <si>
    <t>Depreciation=Revenue×Depreciation %</t>
  </si>
  <si>
    <t>Tax Expense=PBT×Tax Rate</t>
  </si>
  <si>
    <t>Capex=Revenue×Capex %</t>
  </si>
  <si>
    <t>Closing Cash=Opening Cash+Net Increase in Cash</t>
  </si>
  <si>
    <t>Value</t>
  </si>
  <si>
    <t>Risk Free Rate</t>
  </si>
  <si>
    <t>Equity Risk Premium</t>
  </si>
  <si>
    <t>Cost of Equity</t>
  </si>
  <si>
    <t>Cost of Debt (Post Tax)</t>
  </si>
  <si>
    <t>Debt Weight</t>
  </si>
  <si>
    <t>Equity Weight</t>
  </si>
  <si>
    <t>WACC</t>
  </si>
  <si>
    <t>Terminal Growth Rate</t>
  </si>
  <si>
    <t>Ke​=Rf​+β(ERP)</t>
  </si>
  <si>
    <t>Ke​=7%+(0.7×6%)=11.2%</t>
  </si>
  <si>
    <t>Free Cash Flow to Firm (FCFF)</t>
  </si>
  <si>
    <t>Tax @ 25.5%</t>
  </si>
  <si>
    <t>EBIT After Tax</t>
  </si>
  <si>
    <t>Change in Working Capital</t>
  </si>
  <si>
    <t>FCFF</t>
  </si>
  <si>
    <t>Present Value of FCFF</t>
  </si>
  <si>
    <t>Year</t>
  </si>
  <si>
    <t>Discount Factor @10.5%</t>
  </si>
  <si>
    <t>Present Value</t>
  </si>
  <si>
    <t>₹ Cr</t>
  </si>
  <si>
    <t>Sum of PV of Explicit FCFF</t>
  </si>
  <si>
    <t>PV=FCFF​/(1+WACC)n</t>
  </si>
  <si>
    <t>Terminal Value</t>
  </si>
  <si>
    <t>Gordon Growth Formula</t>
  </si>
  <si>
    <t>FCFF2031​=15,284×(1+4.5%)</t>
  </si>
  <si>
    <t>TV= 15,972/10.5%−4.5%</t>
  </si>
  <si>
    <t>Present Value of Terminal Value</t>
  </si>
  <si>
    <t>Discount Factor</t>
  </si>
  <si>
    <t>PV of Terminal Value</t>
  </si>
  <si>
    <t>Enterprise Value</t>
  </si>
  <si>
    <t>PV of Explicit FCFF</t>
  </si>
  <si>
    <t>Equity Value</t>
  </si>
  <si>
    <t>Add: Cash &amp; Investments</t>
  </si>
  <si>
    <t>Less: Debt</t>
  </si>
  <si>
    <t>Intrinsic Value Per Share</t>
  </si>
  <si>
    <t>222,752 Cr</t>
  </si>
  <si>
    <t>Shares Outstanding</t>
  </si>
  <si>
    <t>235 Cr</t>
  </si>
  <si>
    <t>Intrinsic Value / Share</t>
  </si>
  <si>
    <t>₹948</t>
  </si>
  <si>
    <t>Final DCF Valuation Summary</t>
  </si>
  <si>
    <t>Metric</t>
  </si>
  <si>
    <t>Terminal Growth</t>
  </si>
  <si>
    <t>₹208,758 Cr</t>
  </si>
  <si>
    <t>₹222,752 Cr</t>
  </si>
  <si>
    <t>₹948/share</t>
  </si>
  <si>
    <t>Asset Turnover</t>
  </si>
  <si>
    <t>Current Ratio</t>
  </si>
  <si>
    <t>Revenue Growth %</t>
  </si>
  <si>
    <t>—</t>
  </si>
  <si>
    <t>EBIT Margin %</t>
  </si>
  <si>
    <t>PAT Margin %</t>
  </si>
  <si>
    <t>Gross Margin %</t>
  </si>
  <si>
    <t>Profitability Ratios</t>
  </si>
  <si>
    <t>Return Ratios</t>
  </si>
  <si>
    <t>ROE %</t>
  </si>
  <si>
    <t>ROA %</t>
  </si>
  <si>
    <t>ROCE %</t>
  </si>
  <si>
    <t>Liquidity Ratios</t>
  </si>
  <si>
    <t>1.03x</t>
  </si>
  <si>
    <t>1.02x</t>
  </si>
  <si>
    <t>1.08x</t>
  </si>
  <si>
    <t>1.13x</t>
  </si>
  <si>
    <t>1.33x</t>
  </si>
  <si>
    <t>1.54x</t>
  </si>
  <si>
    <t>1.75x</t>
  </si>
  <si>
    <t>1.96x</t>
  </si>
  <si>
    <t>2.23x</t>
  </si>
  <si>
    <t>2.47x</t>
  </si>
  <si>
    <t>Quick Ratio</t>
  </si>
  <si>
    <t>0.63x</t>
  </si>
  <si>
    <t>0.61x</t>
  </si>
  <si>
    <t>0.64x</t>
  </si>
  <si>
    <t>0.66x</t>
  </si>
  <si>
    <t>0.89x</t>
  </si>
  <si>
    <t>1.12x</t>
  </si>
  <si>
    <t>1.55x</t>
  </si>
  <si>
    <t>1.81x</t>
  </si>
  <si>
    <t>2.04x</t>
  </si>
  <si>
    <t>Cash Ratio</t>
  </si>
  <si>
    <t>0.32x</t>
  </si>
  <si>
    <t>0.35x</t>
  </si>
  <si>
    <t>0.38x</t>
  </si>
  <si>
    <t>0.41x</t>
  </si>
  <si>
    <t>0.43x</t>
  </si>
  <si>
    <t>0.67x</t>
  </si>
  <si>
    <t>0.91x</t>
  </si>
  <si>
    <t>1.35x</t>
  </si>
  <si>
    <t>1.60x</t>
  </si>
  <si>
    <t>1.84x</t>
  </si>
  <si>
    <t>Efficiency Ratios</t>
  </si>
  <si>
    <t>1.87x</t>
  </si>
  <si>
    <t>1.89x</t>
  </si>
  <si>
    <t>1.90x</t>
  </si>
  <si>
    <t>1.94x</t>
  </si>
  <si>
    <t>1.83x</t>
  </si>
  <si>
    <t>1.65x</t>
  </si>
  <si>
    <t>1.51x</t>
  </si>
  <si>
    <t>1.40x</t>
  </si>
  <si>
    <t>1.31x</t>
  </si>
  <si>
    <t>1.23x</t>
  </si>
  <si>
    <t>1.17x</t>
  </si>
  <si>
    <t>Inventory Turnover</t>
  </si>
  <si>
    <t>4.13x</t>
  </si>
  <si>
    <t>4.40x</t>
  </si>
  <si>
    <t>4.52x</t>
  </si>
  <si>
    <t>4.80x</t>
  </si>
  <si>
    <t>4.57x</t>
  </si>
  <si>
    <t>4.70x</t>
  </si>
  <si>
    <t>4.85x</t>
  </si>
  <si>
    <t>4.92x</t>
  </si>
  <si>
    <t>4.98x</t>
  </si>
  <si>
    <t>5.03x</t>
  </si>
  <si>
    <t>5.08x</t>
  </si>
  <si>
    <t>Receivable Days</t>
  </si>
  <si>
    <t>Payable Days</t>
  </si>
  <si>
    <t>Working Capital Days</t>
  </si>
  <si>
    <t>Solvency Ratios</t>
  </si>
  <si>
    <t>Debt to Equity</t>
  </si>
  <si>
    <t>0.24x</t>
  </si>
  <si>
    <t>0.22x</t>
  </si>
  <si>
    <t>0.20x</t>
  </si>
  <si>
    <t>0.19x</t>
  </si>
  <si>
    <t>0.17x</t>
  </si>
  <si>
    <t>0.15x</t>
  </si>
  <si>
    <t>0.13x</t>
  </si>
  <si>
    <t>0.11x</t>
  </si>
  <si>
    <t>0.10x</t>
  </si>
  <si>
    <t>0.09x</t>
  </si>
  <si>
    <t>Debt to Assets</t>
  </si>
  <si>
    <t>0.08x</t>
  </si>
  <si>
    <t>0.07x</t>
  </si>
  <si>
    <t>0.06x</t>
  </si>
  <si>
    <t>Interest Coverage</t>
  </si>
  <si>
    <t>48.6x</t>
  </si>
  <si>
    <t>64.2x</t>
  </si>
  <si>
    <t>73.1x</t>
  </si>
  <si>
    <t>87.3x</t>
  </si>
  <si>
    <t>102.9x</t>
  </si>
  <si>
    <t>150.8x</t>
  </si>
  <si>
    <t>182.1x</t>
  </si>
  <si>
    <t>215.6x</t>
  </si>
  <si>
    <t>253.9x</t>
  </si>
  <si>
    <t>297.5x</t>
  </si>
  <si>
    <t>347.5x</t>
  </si>
  <si>
    <t>Valuation Ratios</t>
  </si>
  <si>
    <t>EV / EBITDA</t>
  </si>
  <si>
    <t>12.4x</t>
  </si>
  <si>
    <t>11.1x</t>
  </si>
  <si>
    <t>10.1x</t>
  </si>
  <si>
    <t>9.2x</t>
  </si>
  <si>
    <t>8.5x</t>
  </si>
  <si>
    <t>EV / EBIT</t>
  </si>
  <si>
    <t>13.5x</t>
  </si>
  <si>
    <t>12.1x</t>
  </si>
  <si>
    <t>11.0x</t>
  </si>
  <si>
    <t>10.0x</t>
  </si>
  <si>
    <t>P / E</t>
  </si>
  <si>
    <t>19.4x</t>
  </si>
  <si>
    <t>17.4x</t>
  </si>
  <si>
    <t>15.8x</t>
  </si>
  <si>
    <t>14.4x</t>
  </si>
  <si>
    <t>13.3x</t>
  </si>
  <si>
    <t>Price / Book</t>
  </si>
  <si>
    <t>8.7x</t>
  </si>
  <si>
    <t>7.1x</t>
  </si>
  <si>
    <t>6.0x</t>
  </si>
  <si>
    <t>5.0x</t>
  </si>
  <si>
    <t>4.1x</t>
  </si>
  <si>
    <t>CAGR</t>
  </si>
  <si>
    <t>Row Labels</t>
  </si>
  <si>
    <t>Grand Total</t>
  </si>
  <si>
    <t>Sum of Revenue</t>
  </si>
  <si>
    <t>Sum of EBITDA</t>
  </si>
  <si>
    <t>Fys</t>
  </si>
  <si>
    <t xml:space="preserve">FYs </t>
  </si>
  <si>
    <t>Component</t>
  </si>
  <si>
    <t>PV of Forecast Period</t>
  </si>
  <si>
    <t>This financial model and valuation dashboard presents a comprehensive analysis of a leading FMCG company using an integrated 3-statement forecasting model and Discounted Cash Flow (DCF) valuation methodology. The model incorporates historical financial performance from FY20–FY25 along with projected estimates from FY26E–FY30E based on key operating, cash flow, working capital, and valuation assumptions. The forecast assumes steady revenue growth supported by premiumisation, operating leverage, and strong brand positioning, resulting in gradual expansion in EBITDA margins from 24.5% in FY26E to 26.0% by FY30E. The company’s asset-light business structure, stable tax regime, and negative working capital cycle further strengthen free cash flow generation and overall profitability.Using the projected Free Cash Flow to Firm (FCFF) approach and a Weighted Average Cost of Capital (WACC) of 10.5%, the DCF valuation estimates an Enterprise Value of approximately ₹208,758 Cr and an Equity Value of ₹222,752 Cr. The intrinsic value derived from the valuation model is approximately ₹948 per share.  The dashboard provides visual insights into revenue growth, profitability trends, margin expansion, cash flow generation, capital efficiency, liquidity, solvency, and valuation metrics through interactive charts and ratio analysis. This project demonstrates practical application of financial modeling, valuation techniques, forecasting methodologies, and dashboard visualization skills commonly used in investment banking, equity research, and corporate 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</si>
</sst>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42">
    <xf numFmtId="0" fontId="0" fillId="0" borderId="0" xfId="0"/>
    <xf numFmtId="3" fontId="0" fillId="0" borderId="0" xfId="0" applyNumberFormat="1"/>
    <xf numFmtId="0" fontId="0" fillId="2" borderId="0" xfId="0" applyFill="1"/>
    <xf numFmtId="3" fontId="0" fillId="2" borderId="0" xfId="0" applyNumberFormat="1" applyFill="1"/>
    <xf numFmtId="10" fontId="0" fillId="2" borderId="0" xfId="0" applyNumberFormat="1" applyFill="1"/>
    <xf numFmtId="0" fontId="2" fillId="2" borderId="0" xfId="0" applyFont="1" applyFill="1"/>
    <xf numFmtId="0" fontId="2" fillId="2" borderId="3" xfId="0" applyFont="1" applyFill="1" applyBorder="1"/>
    <xf numFmtId="0" fontId="2" fillId="2" borderId="4" xfId="0" applyFont="1" applyFill="1" applyBorder="1"/>
    <xf numFmtId="0" fontId="0" fillId="2" borderId="6" xfId="0" applyFill="1" applyBorder="1"/>
    <xf numFmtId="0" fontId="0" fillId="2" borderId="8" xfId="0" applyFill="1" applyBorder="1"/>
    <xf numFmtId="0" fontId="0" fillId="2" borderId="9" xfId="0" applyFill="1" applyBorder="1"/>
    <xf numFmtId="0" fontId="2" fillId="2" borderId="10" xfId="0" applyFont="1" applyFill="1" applyBorder="1"/>
    <xf numFmtId="0" fontId="2" fillId="2" borderId="11" xfId="0" applyFont="1" applyFill="1" applyBorder="1"/>
    <xf numFmtId="0" fontId="2" fillId="2" borderId="12" xfId="0" applyFont="1" applyFill="1" applyBorder="1"/>
    <xf numFmtId="0" fontId="2" fillId="2" borderId="1" xfId="0" applyFont="1" applyFill="1" applyBorder="1"/>
    <xf numFmtId="0" fontId="2" fillId="2" borderId="13" xfId="0" applyFont="1" applyFill="1" applyBorder="1"/>
    <xf numFmtId="0" fontId="2" fillId="2" borderId="14" xfId="0" applyFont="1" applyFill="1" applyBorder="1"/>
    <xf numFmtId="0" fontId="0" fillId="2" borderId="11" xfId="0" applyFill="1" applyBorder="1"/>
    <xf numFmtId="0" fontId="0" fillId="2" borderId="12" xfId="0" applyFill="1" applyBorder="1"/>
    <xf numFmtId="0" fontId="2" fillId="2" borderId="15" xfId="0" applyFont="1"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3" fontId="0" fillId="2" borderId="6" xfId="0" applyNumberFormat="1" applyFill="1" applyBorder="1"/>
    <xf numFmtId="0" fontId="0" fillId="2" borderId="7" xfId="0" applyFill="1" applyBorder="1"/>
    <xf numFmtId="10" fontId="0" fillId="2" borderId="8" xfId="0" applyNumberFormat="1" applyFill="1" applyBorder="1"/>
    <xf numFmtId="9" fontId="0" fillId="2" borderId="0" xfId="1" applyFont="1" applyFill="1"/>
    <xf numFmtId="0" fontId="0" fillId="0" borderId="0" xfId="0" pivotButton="1"/>
    <xf numFmtId="0" fontId="0" fillId="0" borderId="0" xfId="0" applyAlignment="1">
      <alignment horizontal="left"/>
    </xf>
    <xf numFmtId="0" fontId="0" fillId="3" borderId="0" xfId="0" applyFill="1"/>
    <xf numFmtId="10" fontId="0" fillId="2" borderId="4" xfId="0" applyNumberFormat="1" applyFill="1" applyBorder="1"/>
    <xf numFmtId="10" fontId="0" fillId="2" borderId="6" xfId="0" applyNumberFormat="1" applyFill="1" applyBorder="1"/>
    <xf numFmtId="3" fontId="0" fillId="2" borderId="4" xfId="0" applyNumberFormat="1" applyFill="1" applyBorder="1"/>
    <xf numFmtId="3" fontId="0" fillId="2" borderId="9" xfId="0" applyNumberFormat="1" applyFill="1" applyBorder="1"/>
    <xf numFmtId="3" fontId="0" fillId="2" borderId="3" xfId="0" applyNumberFormat="1" applyFill="1" applyBorder="1"/>
    <xf numFmtId="3" fontId="0" fillId="2" borderId="8" xfId="0" applyNumberFormat="1" applyFill="1" applyBorder="1"/>
    <xf numFmtId="9" fontId="0" fillId="2" borderId="6" xfId="0" applyNumberFormat="1" applyFill="1" applyBorder="1"/>
    <xf numFmtId="10" fontId="0" fillId="2" borderId="9" xfId="0" applyNumberFormat="1" applyFill="1" applyBorder="1"/>
    <xf numFmtId="10" fontId="0" fillId="2" borderId="3" xfId="0" applyNumberFormat="1" applyFill="1" applyBorder="1"/>
    <xf numFmtId="0" fontId="0" fillId="0" borderId="0" xfId="0" applyAlignment="1">
      <alignment horizontal="left" wrapText="1"/>
    </xf>
    <xf numFmtId="0" fontId="0" fillId="2" borderId="0" xfId="0" applyFill="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vs EBITDA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Sheet9!$C$2</c:f>
              <c:strCache>
                <c:ptCount val="1"/>
                <c:pt idx="0">
                  <c:v>Revenue</c:v>
                </c:pt>
              </c:strCache>
            </c:strRef>
          </c:tx>
          <c:spPr>
            <a:ln w="28575" cap="rnd">
              <a:solidFill>
                <a:schemeClr val="accent1"/>
              </a:solidFill>
              <a:round/>
            </a:ln>
            <a:effectLst/>
          </c:spPr>
          <c:marker>
            <c:symbol val="none"/>
          </c:marker>
          <c:cat>
            <c:strRef>
              <c:f>Sheet9!$B$3:$B$13</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Sheet9!$C$3:$C$13</c:f>
              <c:numCache>
                <c:formatCode>General</c:formatCode>
                <c:ptCount val="11"/>
                <c:pt idx="0">
                  <c:v>38273</c:v>
                </c:pt>
                <c:pt idx="1">
                  <c:v>45311</c:v>
                </c:pt>
                <c:pt idx="2">
                  <c:v>50336</c:v>
                </c:pt>
                <c:pt idx="3">
                  <c:v>58154</c:v>
                </c:pt>
                <c:pt idx="4">
                  <c:v>59579</c:v>
                </c:pt>
                <c:pt idx="5">
                  <c:v>63121</c:v>
                </c:pt>
                <c:pt idx="6">
                  <c:v>68802</c:v>
                </c:pt>
                <c:pt idx="7">
                  <c:v>74994</c:v>
                </c:pt>
                <c:pt idx="8">
                  <c:v>81368</c:v>
                </c:pt>
                <c:pt idx="9">
                  <c:v>87878</c:v>
                </c:pt>
                <c:pt idx="10">
                  <c:v>94908</c:v>
                </c:pt>
              </c:numCache>
            </c:numRef>
          </c:val>
          <c:smooth val="0"/>
          <c:extLst>
            <c:ext xmlns:c16="http://schemas.microsoft.com/office/drawing/2014/chart" uri="{C3380CC4-5D6E-409C-BE32-E72D297353CC}">
              <c16:uniqueId val="{00000000-DA34-4FED-9F5C-294772420956}"/>
            </c:ext>
          </c:extLst>
        </c:ser>
        <c:ser>
          <c:idx val="1"/>
          <c:order val="1"/>
          <c:tx>
            <c:strRef>
              <c:f>Sheet9!$D$2</c:f>
              <c:strCache>
                <c:ptCount val="1"/>
                <c:pt idx="0">
                  <c:v>EBITDA</c:v>
                </c:pt>
              </c:strCache>
            </c:strRef>
          </c:tx>
          <c:spPr>
            <a:ln w="28575" cap="rnd">
              <a:solidFill>
                <a:schemeClr val="accent2"/>
              </a:solidFill>
              <a:round/>
            </a:ln>
            <a:effectLst/>
          </c:spPr>
          <c:marker>
            <c:symbol val="none"/>
          </c:marker>
          <c:cat>
            <c:strRef>
              <c:f>Sheet9!$B$3:$B$13</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Sheet9!$D$3:$D$13</c:f>
              <c:numCache>
                <c:formatCode>General</c:formatCode>
                <c:ptCount val="11"/>
                <c:pt idx="0">
                  <c:v>8097</c:v>
                </c:pt>
                <c:pt idx="1">
                  <c:v>8608</c:v>
                </c:pt>
                <c:pt idx="2">
                  <c:v>9041</c:v>
                </c:pt>
                <c:pt idx="3">
                  <c:v>9834</c:v>
                </c:pt>
                <c:pt idx="4">
                  <c:v>10979</c:v>
                </c:pt>
                <c:pt idx="5">
                  <c:v>14834</c:v>
                </c:pt>
                <c:pt idx="6">
                  <c:v>16857</c:v>
                </c:pt>
                <c:pt idx="7">
                  <c:v>18749</c:v>
                </c:pt>
                <c:pt idx="8">
                  <c:v>20749</c:v>
                </c:pt>
                <c:pt idx="9">
                  <c:v>22673</c:v>
                </c:pt>
                <c:pt idx="10">
                  <c:v>24676</c:v>
                </c:pt>
              </c:numCache>
            </c:numRef>
          </c:val>
          <c:smooth val="0"/>
          <c:extLst>
            <c:ext xmlns:c16="http://schemas.microsoft.com/office/drawing/2014/chart" uri="{C3380CC4-5D6E-409C-BE32-E72D297353CC}">
              <c16:uniqueId val="{00000001-DA34-4FED-9F5C-294772420956}"/>
            </c:ext>
          </c:extLst>
        </c:ser>
        <c:dLbls>
          <c:showLegendKey val="0"/>
          <c:showVal val="0"/>
          <c:showCatName val="0"/>
          <c:showSerName val="0"/>
          <c:showPercent val="0"/>
          <c:showBubbleSize val="0"/>
        </c:dLbls>
        <c:smooth val="0"/>
        <c:axId val="1878358832"/>
        <c:axId val="50342880"/>
      </c:lineChart>
      <c:catAx>
        <c:axId val="187835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2880"/>
        <c:crosses val="autoZero"/>
        <c:auto val="1"/>
        <c:lblAlgn val="ctr"/>
        <c:lblOffset val="100"/>
        <c:noMultiLvlLbl val="0"/>
      </c:catAx>
      <c:valAx>
        <c:axId val="503428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78358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FCFF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 DCF'!$C$26</c:f>
              <c:strCache>
                <c:ptCount val="1"/>
                <c:pt idx="0">
                  <c:v>FCFF</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DCF'!$B$27:$B$31</c:f>
              <c:strCache>
                <c:ptCount val="5"/>
                <c:pt idx="0">
                  <c:v>FY26E</c:v>
                </c:pt>
                <c:pt idx="1">
                  <c:v>FY27E</c:v>
                </c:pt>
                <c:pt idx="2">
                  <c:v>FY28E</c:v>
                </c:pt>
                <c:pt idx="3">
                  <c:v>FY29E</c:v>
                </c:pt>
                <c:pt idx="4">
                  <c:v>FY30E</c:v>
                </c:pt>
              </c:strCache>
            </c:strRef>
          </c:cat>
          <c:val>
            <c:numRef>
              <c:f>' DCF'!$C$27:$C$31</c:f>
              <c:numCache>
                <c:formatCode>#,##0</c:formatCode>
                <c:ptCount val="5"/>
                <c:pt idx="0">
                  <c:v>10345</c:v>
                </c:pt>
                <c:pt idx="1">
                  <c:v>11700</c:v>
                </c:pt>
                <c:pt idx="2">
                  <c:v>12790</c:v>
                </c:pt>
                <c:pt idx="3">
                  <c:v>14150</c:v>
                </c:pt>
                <c:pt idx="4">
                  <c:v>15284</c:v>
                </c:pt>
              </c:numCache>
            </c:numRef>
          </c:val>
          <c:extLst>
            <c:ext xmlns:c16="http://schemas.microsoft.com/office/drawing/2014/chart" uri="{C3380CC4-5D6E-409C-BE32-E72D297353CC}">
              <c16:uniqueId val="{00000000-E94F-440A-82C0-2C85B560E9EB}"/>
            </c:ext>
          </c:extLst>
        </c:ser>
        <c:dLbls>
          <c:dLblPos val="outEnd"/>
          <c:showLegendKey val="0"/>
          <c:showVal val="1"/>
          <c:showCatName val="0"/>
          <c:showSerName val="0"/>
          <c:showPercent val="0"/>
          <c:showBubbleSize val="0"/>
        </c:dLbls>
        <c:gapWidth val="182"/>
        <c:axId val="1660580528"/>
        <c:axId val="1660583888"/>
      </c:barChart>
      <c:catAx>
        <c:axId val="1660580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583888"/>
        <c:crosses val="autoZero"/>
        <c:auto val="1"/>
        <c:lblAlgn val="ctr"/>
        <c:lblOffset val="100"/>
        <c:noMultiLvlLbl val="0"/>
      </c:catAx>
      <c:valAx>
        <c:axId val="166058388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660580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Margin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Sheet9!$C$20</c:f>
              <c:strCache>
                <c:ptCount val="1"/>
                <c:pt idx="0">
                  <c:v>EBITDA Margin %</c:v>
                </c:pt>
              </c:strCache>
            </c:strRef>
          </c:tx>
          <c:spPr>
            <a:ln w="28575" cap="rnd">
              <a:solidFill>
                <a:schemeClr val="accent1"/>
              </a:solidFill>
              <a:round/>
            </a:ln>
            <a:effectLst/>
          </c:spPr>
          <c:marker>
            <c:symbol val="none"/>
          </c:marker>
          <c:cat>
            <c:strRef>
              <c:f>Sheet9!$B$21:$B$31</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Sheet9!$C$21:$C$31</c:f>
              <c:numCache>
                <c:formatCode>General</c:formatCode>
                <c:ptCount val="11"/>
                <c:pt idx="0">
                  <c:v>0.21199999999999999</c:v>
                </c:pt>
                <c:pt idx="1">
                  <c:v>0.19</c:v>
                </c:pt>
                <c:pt idx="2">
                  <c:v>0.18</c:v>
                </c:pt>
                <c:pt idx="3">
                  <c:v>0.16900000000000001</c:v>
                </c:pt>
                <c:pt idx="4">
                  <c:v>0.184</c:v>
                </c:pt>
                <c:pt idx="5">
                  <c:v>0.23499999999999999</c:v>
                </c:pt>
                <c:pt idx="6">
                  <c:v>0.245</c:v>
                </c:pt>
                <c:pt idx="7">
                  <c:v>0.25</c:v>
                </c:pt>
                <c:pt idx="8">
                  <c:v>0.255</c:v>
                </c:pt>
                <c:pt idx="9">
                  <c:v>0.25800000000000001</c:v>
                </c:pt>
                <c:pt idx="10">
                  <c:v>0.26</c:v>
                </c:pt>
              </c:numCache>
            </c:numRef>
          </c:val>
          <c:smooth val="0"/>
          <c:extLst>
            <c:ext xmlns:c16="http://schemas.microsoft.com/office/drawing/2014/chart" uri="{C3380CC4-5D6E-409C-BE32-E72D297353CC}">
              <c16:uniqueId val="{00000000-56FB-461B-BB1D-301742F32D94}"/>
            </c:ext>
          </c:extLst>
        </c:ser>
        <c:ser>
          <c:idx val="1"/>
          <c:order val="1"/>
          <c:tx>
            <c:strRef>
              <c:f>Sheet9!$D$20</c:f>
              <c:strCache>
                <c:ptCount val="1"/>
                <c:pt idx="0">
                  <c:v>EBIT Margin %</c:v>
                </c:pt>
              </c:strCache>
            </c:strRef>
          </c:tx>
          <c:spPr>
            <a:ln w="28575" cap="rnd">
              <a:solidFill>
                <a:schemeClr val="accent2"/>
              </a:solidFill>
              <a:round/>
            </a:ln>
            <a:effectLst/>
          </c:spPr>
          <c:marker>
            <c:symbol val="none"/>
          </c:marker>
          <c:cat>
            <c:strRef>
              <c:f>Sheet9!$B$21:$B$31</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Sheet9!$D$21:$D$31</c:f>
              <c:numCache>
                <c:formatCode>General</c:formatCode>
                <c:ptCount val="11"/>
                <c:pt idx="0">
                  <c:v>0.191</c:v>
                </c:pt>
                <c:pt idx="1">
                  <c:v>0.17</c:v>
                </c:pt>
                <c:pt idx="2">
                  <c:v>0.16</c:v>
                </c:pt>
                <c:pt idx="3">
                  <c:v>0.15</c:v>
                </c:pt>
                <c:pt idx="4">
                  <c:v>0.16400000000000001</c:v>
                </c:pt>
                <c:pt idx="5">
                  <c:v>0.215</c:v>
                </c:pt>
                <c:pt idx="6">
                  <c:v>0.22500000000000001</c:v>
                </c:pt>
                <c:pt idx="7">
                  <c:v>0.23</c:v>
                </c:pt>
                <c:pt idx="8">
                  <c:v>0.23400000000000001</c:v>
                </c:pt>
                <c:pt idx="9">
                  <c:v>0.23699999999999999</c:v>
                </c:pt>
                <c:pt idx="10">
                  <c:v>0.23799999999999999</c:v>
                </c:pt>
              </c:numCache>
            </c:numRef>
          </c:val>
          <c:smooth val="0"/>
          <c:extLst>
            <c:ext xmlns:c16="http://schemas.microsoft.com/office/drawing/2014/chart" uri="{C3380CC4-5D6E-409C-BE32-E72D297353CC}">
              <c16:uniqueId val="{00000001-56FB-461B-BB1D-301742F32D94}"/>
            </c:ext>
          </c:extLst>
        </c:ser>
        <c:ser>
          <c:idx val="2"/>
          <c:order val="2"/>
          <c:tx>
            <c:strRef>
              <c:f>Sheet9!$E$20</c:f>
              <c:strCache>
                <c:ptCount val="1"/>
                <c:pt idx="0">
                  <c:v>PAT Margin %</c:v>
                </c:pt>
              </c:strCache>
            </c:strRef>
          </c:tx>
          <c:spPr>
            <a:ln w="28575" cap="rnd">
              <a:solidFill>
                <a:schemeClr val="accent3"/>
              </a:solidFill>
              <a:round/>
            </a:ln>
            <a:effectLst/>
          </c:spPr>
          <c:marker>
            <c:symbol val="none"/>
          </c:marker>
          <c:cat>
            <c:strRef>
              <c:f>Sheet9!$B$21:$B$31</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Sheet9!$E$21:$E$31</c:f>
              <c:numCache>
                <c:formatCode>General</c:formatCode>
                <c:ptCount val="11"/>
                <c:pt idx="0">
                  <c:v>0.17599999999999999</c:v>
                </c:pt>
                <c:pt idx="1">
                  <c:v>0.17599999999999999</c:v>
                </c:pt>
                <c:pt idx="2">
                  <c:v>0.17499999999999999</c:v>
                </c:pt>
                <c:pt idx="3">
                  <c:v>0.17100000000000001</c:v>
                </c:pt>
                <c:pt idx="4">
                  <c:v>0.17</c:v>
                </c:pt>
                <c:pt idx="5">
                  <c:v>0.159</c:v>
                </c:pt>
                <c:pt idx="6">
                  <c:v>0.16700000000000001</c:v>
                </c:pt>
                <c:pt idx="7">
                  <c:v>0.17100000000000001</c:v>
                </c:pt>
                <c:pt idx="8">
                  <c:v>0.17399999999999999</c:v>
                </c:pt>
                <c:pt idx="9">
                  <c:v>0.17599999999999999</c:v>
                </c:pt>
                <c:pt idx="10">
                  <c:v>0.17699999999999999</c:v>
                </c:pt>
              </c:numCache>
            </c:numRef>
          </c:val>
          <c:smooth val="0"/>
          <c:extLst>
            <c:ext xmlns:c16="http://schemas.microsoft.com/office/drawing/2014/chart" uri="{C3380CC4-5D6E-409C-BE32-E72D297353CC}">
              <c16:uniqueId val="{00000002-56FB-461B-BB1D-301742F32D94}"/>
            </c:ext>
          </c:extLst>
        </c:ser>
        <c:dLbls>
          <c:showLegendKey val="0"/>
          <c:showVal val="0"/>
          <c:showCatName val="0"/>
          <c:showSerName val="0"/>
          <c:showPercent val="0"/>
          <c:showBubbleSize val="0"/>
        </c:dLbls>
        <c:smooth val="0"/>
        <c:axId val="1884388736"/>
        <c:axId val="1884395456"/>
      </c:lineChart>
      <c:catAx>
        <c:axId val="188438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395456"/>
        <c:crosses val="autoZero"/>
        <c:auto val="1"/>
        <c:lblAlgn val="ctr"/>
        <c:lblOffset val="100"/>
        <c:noMultiLvlLbl val="0"/>
      </c:catAx>
      <c:valAx>
        <c:axId val="18843954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84388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vs EBITDA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Sheet9!$C$2</c:f>
              <c:strCache>
                <c:ptCount val="1"/>
                <c:pt idx="0">
                  <c:v>Revenue</c:v>
                </c:pt>
              </c:strCache>
            </c:strRef>
          </c:tx>
          <c:spPr>
            <a:ln w="28575" cap="rnd">
              <a:solidFill>
                <a:schemeClr val="accent1"/>
              </a:solidFill>
              <a:round/>
            </a:ln>
            <a:effectLst/>
          </c:spPr>
          <c:marker>
            <c:symbol val="none"/>
          </c:marker>
          <c:cat>
            <c:strRef>
              <c:f>Sheet9!$B$3:$B$13</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Sheet9!$C$3:$C$13</c:f>
              <c:numCache>
                <c:formatCode>General</c:formatCode>
                <c:ptCount val="11"/>
                <c:pt idx="0">
                  <c:v>38273</c:v>
                </c:pt>
                <c:pt idx="1">
                  <c:v>45311</c:v>
                </c:pt>
                <c:pt idx="2">
                  <c:v>50336</c:v>
                </c:pt>
                <c:pt idx="3">
                  <c:v>58154</c:v>
                </c:pt>
                <c:pt idx="4">
                  <c:v>59579</c:v>
                </c:pt>
                <c:pt idx="5">
                  <c:v>63121</c:v>
                </c:pt>
                <c:pt idx="6">
                  <c:v>68802</c:v>
                </c:pt>
                <c:pt idx="7">
                  <c:v>74994</c:v>
                </c:pt>
                <c:pt idx="8">
                  <c:v>81368</c:v>
                </c:pt>
                <c:pt idx="9">
                  <c:v>87878</c:v>
                </c:pt>
                <c:pt idx="10">
                  <c:v>94908</c:v>
                </c:pt>
              </c:numCache>
            </c:numRef>
          </c:val>
          <c:smooth val="0"/>
          <c:extLst>
            <c:ext xmlns:c16="http://schemas.microsoft.com/office/drawing/2014/chart" uri="{C3380CC4-5D6E-409C-BE32-E72D297353CC}">
              <c16:uniqueId val="{00000000-0148-4A92-8B45-D0C954C57C72}"/>
            </c:ext>
          </c:extLst>
        </c:ser>
        <c:ser>
          <c:idx val="1"/>
          <c:order val="1"/>
          <c:tx>
            <c:strRef>
              <c:f>Sheet9!$D$2</c:f>
              <c:strCache>
                <c:ptCount val="1"/>
                <c:pt idx="0">
                  <c:v>EBITDA</c:v>
                </c:pt>
              </c:strCache>
            </c:strRef>
          </c:tx>
          <c:spPr>
            <a:ln w="28575" cap="rnd">
              <a:solidFill>
                <a:schemeClr val="accent2"/>
              </a:solidFill>
              <a:round/>
            </a:ln>
            <a:effectLst/>
          </c:spPr>
          <c:marker>
            <c:symbol val="none"/>
          </c:marker>
          <c:cat>
            <c:strRef>
              <c:f>Sheet9!$B$3:$B$13</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Sheet9!$D$3:$D$13</c:f>
              <c:numCache>
                <c:formatCode>General</c:formatCode>
                <c:ptCount val="11"/>
                <c:pt idx="0">
                  <c:v>8097</c:v>
                </c:pt>
                <c:pt idx="1">
                  <c:v>8608</c:v>
                </c:pt>
                <c:pt idx="2">
                  <c:v>9041</c:v>
                </c:pt>
                <c:pt idx="3">
                  <c:v>9834</c:v>
                </c:pt>
                <c:pt idx="4">
                  <c:v>10979</c:v>
                </c:pt>
                <c:pt idx="5">
                  <c:v>14834</c:v>
                </c:pt>
                <c:pt idx="6">
                  <c:v>16857</c:v>
                </c:pt>
                <c:pt idx="7">
                  <c:v>18749</c:v>
                </c:pt>
                <c:pt idx="8">
                  <c:v>20749</c:v>
                </c:pt>
                <c:pt idx="9">
                  <c:v>22673</c:v>
                </c:pt>
                <c:pt idx="10">
                  <c:v>24676</c:v>
                </c:pt>
              </c:numCache>
            </c:numRef>
          </c:val>
          <c:smooth val="0"/>
          <c:extLst>
            <c:ext xmlns:c16="http://schemas.microsoft.com/office/drawing/2014/chart" uri="{C3380CC4-5D6E-409C-BE32-E72D297353CC}">
              <c16:uniqueId val="{00000001-0148-4A92-8B45-D0C954C57C72}"/>
            </c:ext>
          </c:extLst>
        </c:ser>
        <c:dLbls>
          <c:showLegendKey val="0"/>
          <c:showVal val="0"/>
          <c:showCatName val="0"/>
          <c:showSerName val="0"/>
          <c:showPercent val="0"/>
          <c:showBubbleSize val="0"/>
        </c:dLbls>
        <c:smooth val="0"/>
        <c:axId val="1878358832"/>
        <c:axId val="50342880"/>
      </c:lineChart>
      <c:catAx>
        <c:axId val="187835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2880"/>
        <c:crosses val="autoZero"/>
        <c:auto val="1"/>
        <c:lblAlgn val="ctr"/>
        <c:lblOffset val="100"/>
        <c:noMultiLvlLbl val="0"/>
      </c:catAx>
      <c:valAx>
        <c:axId val="503428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78358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Margin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Sheet9!$C$20</c:f>
              <c:strCache>
                <c:ptCount val="1"/>
                <c:pt idx="0">
                  <c:v>EBITDA Margin %</c:v>
                </c:pt>
              </c:strCache>
            </c:strRef>
          </c:tx>
          <c:spPr>
            <a:ln w="28575" cap="rnd">
              <a:solidFill>
                <a:schemeClr val="accent1"/>
              </a:solidFill>
              <a:round/>
            </a:ln>
            <a:effectLst/>
          </c:spPr>
          <c:marker>
            <c:symbol val="none"/>
          </c:marker>
          <c:cat>
            <c:strRef>
              <c:f>Sheet9!$B$21:$B$31</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Sheet9!$C$21:$C$31</c:f>
              <c:numCache>
                <c:formatCode>General</c:formatCode>
                <c:ptCount val="11"/>
                <c:pt idx="0">
                  <c:v>0.21199999999999999</c:v>
                </c:pt>
                <c:pt idx="1">
                  <c:v>0.19</c:v>
                </c:pt>
                <c:pt idx="2">
                  <c:v>0.18</c:v>
                </c:pt>
                <c:pt idx="3">
                  <c:v>0.16900000000000001</c:v>
                </c:pt>
                <c:pt idx="4">
                  <c:v>0.184</c:v>
                </c:pt>
                <c:pt idx="5">
                  <c:v>0.23499999999999999</c:v>
                </c:pt>
                <c:pt idx="6">
                  <c:v>0.245</c:v>
                </c:pt>
                <c:pt idx="7">
                  <c:v>0.25</c:v>
                </c:pt>
                <c:pt idx="8">
                  <c:v>0.255</c:v>
                </c:pt>
                <c:pt idx="9">
                  <c:v>0.25800000000000001</c:v>
                </c:pt>
                <c:pt idx="10">
                  <c:v>0.26</c:v>
                </c:pt>
              </c:numCache>
            </c:numRef>
          </c:val>
          <c:smooth val="0"/>
          <c:extLst>
            <c:ext xmlns:c16="http://schemas.microsoft.com/office/drawing/2014/chart" uri="{C3380CC4-5D6E-409C-BE32-E72D297353CC}">
              <c16:uniqueId val="{00000000-2DCD-46AA-B223-6A2A4DC1EC1B}"/>
            </c:ext>
          </c:extLst>
        </c:ser>
        <c:ser>
          <c:idx val="1"/>
          <c:order val="1"/>
          <c:tx>
            <c:strRef>
              <c:f>Sheet9!$D$20</c:f>
              <c:strCache>
                <c:ptCount val="1"/>
                <c:pt idx="0">
                  <c:v>EBIT Margin %</c:v>
                </c:pt>
              </c:strCache>
            </c:strRef>
          </c:tx>
          <c:spPr>
            <a:ln w="28575" cap="rnd">
              <a:solidFill>
                <a:schemeClr val="accent2"/>
              </a:solidFill>
              <a:round/>
            </a:ln>
            <a:effectLst/>
          </c:spPr>
          <c:marker>
            <c:symbol val="none"/>
          </c:marker>
          <c:cat>
            <c:strRef>
              <c:f>Sheet9!$B$21:$B$31</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Sheet9!$D$21:$D$31</c:f>
              <c:numCache>
                <c:formatCode>General</c:formatCode>
                <c:ptCount val="11"/>
                <c:pt idx="0">
                  <c:v>0.191</c:v>
                </c:pt>
                <c:pt idx="1">
                  <c:v>0.17</c:v>
                </c:pt>
                <c:pt idx="2">
                  <c:v>0.16</c:v>
                </c:pt>
                <c:pt idx="3">
                  <c:v>0.15</c:v>
                </c:pt>
                <c:pt idx="4">
                  <c:v>0.16400000000000001</c:v>
                </c:pt>
                <c:pt idx="5">
                  <c:v>0.215</c:v>
                </c:pt>
                <c:pt idx="6">
                  <c:v>0.22500000000000001</c:v>
                </c:pt>
                <c:pt idx="7">
                  <c:v>0.23</c:v>
                </c:pt>
                <c:pt idx="8">
                  <c:v>0.23400000000000001</c:v>
                </c:pt>
                <c:pt idx="9">
                  <c:v>0.23699999999999999</c:v>
                </c:pt>
                <c:pt idx="10">
                  <c:v>0.23799999999999999</c:v>
                </c:pt>
              </c:numCache>
            </c:numRef>
          </c:val>
          <c:smooth val="0"/>
          <c:extLst>
            <c:ext xmlns:c16="http://schemas.microsoft.com/office/drawing/2014/chart" uri="{C3380CC4-5D6E-409C-BE32-E72D297353CC}">
              <c16:uniqueId val="{00000001-2DCD-46AA-B223-6A2A4DC1EC1B}"/>
            </c:ext>
          </c:extLst>
        </c:ser>
        <c:ser>
          <c:idx val="2"/>
          <c:order val="2"/>
          <c:tx>
            <c:strRef>
              <c:f>Sheet9!$E$20</c:f>
              <c:strCache>
                <c:ptCount val="1"/>
                <c:pt idx="0">
                  <c:v>PAT Margin %</c:v>
                </c:pt>
              </c:strCache>
            </c:strRef>
          </c:tx>
          <c:spPr>
            <a:ln w="28575" cap="rnd">
              <a:solidFill>
                <a:schemeClr val="accent3"/>
              </a:solidFill>
              <a:round/>
            </a:ln>
            <a:effectLst/>
          </c:spPr>
          <c:marker>
            <c:symbol val="none"/>
          </c:marker>
          <c:cat>
            <c:strRef>
              <c:f>Sheet9!$B$21:$B$31</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Sheet9!$E$21:$E$31</c:f>
              <c:numCache>
                <c:formatCode>General</c:formatCode>
                <c:ptCount val="11"/>
                <c:pt idx="0">
                  <c:v>0.17599999999999999</c:v>
                </c:pt>
                <c:pt idx="1">
                  <c:v>0.17599999999999999</c:v>
                </c:pt>
                <c:pt idx="2">
                  <c:v>0.17499999999999999</c:v>
                </c:pt>
                <c:pt idx="3">
                  <c:v>0.17100000000000001</c:v>
                </c:pt>
                <c:pt idx="4">
                  <c:v>0.17</c:v>
                </c:pt>
                <c:pt idx="5">
                  <c:v>0.159</c:v>
                </c:pt>
                <c:pt idx="6">
                  <c:v>0.16700000000000001</c:v>
                </c:pt>
                <c:pt idx="7">
                  <c:v>0.17100000000000001</c:v>
                </c:pt>
                <c:pt idx="8">
                  <c:v>0.17399999999999999</c:v>
                </c:pt>
                <c:pt idx="9">
                  <c:v>0.17599999999999999</c:v>
                </c:pt>
                <c:pt idx="10">
                  <c:v>0.17699999999999999</c:v>
                </c:pt>
              </c:numCache>
            </c:numRef>
          </c:val>
          <c:smooth val="0"/>
          <c:extLst>
            <c:ext xmlns:c16="http://schemas.microsoft.com/office/drawing/2014/chart" uri="{C3380CC4-5D6E-409C-BE32-E72D297353CC}">
              <c16:uniqueId val="{00000002-2DCD-46AA-B223-6A2A4DC1EC1B}"/>
            </c:ext>
          </c:extLst>
        </c:ser>
        <c:dLbls>
          <c:showLegendKey val="0"/>
          <c:showVal val="0"/>
          <c:showCatName val="0"/>
          <c:showSerName val="0"/>
          <c:showPercent val="0"/>
          <c:showBubbleSize val="0"/>
        </c:dLbls>
        <c:smooth val="0"/>
        <c:axId val="1884388736"/>
        <c:axId val="1884395456"/>
      </c:lineChart>
      <c:catAx>
        <c:axId val="188438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395456"/>
        <c:crosses val="autoZero"/>
        <c:auto val="1"/>
        <c:lblAlgn val="ctr"/>
        <c:lblOffset val="100"/>
        <c:noMultiLvlLbl val="0"/>
      </c:catAx>
      <c:valAx>
        <c:axId val="18843954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84388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US"/>
              <a:t>DCF Waterfall Chart</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waterfall" uniqueId="{B8D85660-6301-4B88-B37B-2CD4E596EFA1}">
          <cx:tx>
            <cx:txData>
              <cx:f>_xlchart.v1.1</cx:f>
              <cx:v>Value</cx:v>
            </cx:txData>
          </cx:tx>
          <cx:dataLabels pos="outEnd">
            <cx:visibility seriesName="0" categoryName="0" value="1"/>
          </cx:dataLabels>
          <cx:dataId val="0"/>
          <cx:layoutPr>
            <cx:subtotals/>
          </cx:layoutPr>
        </cx:series>
      </cx:plotAreaRegion>
      <cx:axis id="0">
        <cx:catScaling gapWidth="0.5"/>
        <cx:tickLabels/>
      </cx:axis>
      <cx:axis id="1" hidden="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US"/>
              <a:t>DCF Waterfall Chart</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waterfall" uniqueId="{B8D85660-6301-4B88-B37B-2CD4E596EFA1}">
          <cx:tx>
            <cx:txData>
              <cx:f>_xlchart.v1.4</cx:f>
              <cx:v>Value</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45720</xdr:colOff>
      <xdr:row>0</xdr:row>
      <xdr:rowOff>121920</xdr:rowOff>
    </xdr:from>
    <xdr:to>
      <xdr:col>17</xdr:col>
      <xdr:colOff>411480</xdr:colOff>
      <xdr:row>5</xdr:row>
      <xdr:rowOff>160020</xdr:rowOff>
    </xdr:to>
    <xdr:sp macro="" textlink="' DCF'!C69">
      <xdr:nvSpPr>
        <xdr:cNvPr id="2" name="Rectangle: Rounded Corners 1">
          <a:extLst>
            <a:ext uri="{FF2B5EF4-FFF2-40B4-BE49-F238E27FC236}">
              <a16:creationId xmlns:a16="http://schemas.microsoft.com/office/drawing/2014/main" id="{0B35B01B-91FB-5292-EB95-18EF7F3D6660}"/>
            </a:ext>
          </a:extLst>
        </xdr:cNvPr>
        <xdr:cNvSpPr/>
      </xdr:nvSpPr>
      <xdr:spPr>
        <a:xfrm>
          <a:off x="9189720" y="121920"/>
          <a:ext cx="1584960" cy="95250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46F38A5-BCB3-4EF6-8D7E-5368E64D4F48}" type="TxLink">
            <a:rPr lang="en-US" sz="2400" b="1" i="0" u="none" strike="noStrike">
              <a:solidFill>
                <a:srgbClr val="000000"/>
              </a:solidFill>
              <a:latin typeface="+mn-lt"/>
              <a:cs typeface="Calibri"/>
            </a:rPr>
            <a:pPr algn="l"/>
            <a:t>₹948</a:t>
          </a:fld>
          <a:br>
            <a:rPr lang="en-US" sz="2400" b="1" i="0" u="none" strike="noStrike">
              <a:solidFill>
                <a:srgbClr val="000000"/>
              </a:solidFill>
              <a:latin typeface="+mn-lt"/>
              <a:cs typeface="Calibri"/>
            </a:rPr>
          </a:br>
          <a:r>
            <a:rPr lang="en-US" sz="1600" b="1">
              <a:latin typeface="+mn-lt"/>
            </a:rPr>
            <a:t>Intrinsic Value</a:t>
          </a:r>
        </a:p>
      </xdr:txBody>
    </xdr:sp>
    <xdr:clientData/>
  </xdr:twoCellAnchor>
  <xdr:twoCellAnchor>
    <xdr:from>
      <xdr:col>17</xdr:col>
      <xdr:colOff>586740</xdr:colOff>
      <xdr:row>0</xdr:row>
      <xdr:rowOff>129540</xdr:rowOff>
    </xdr:from>
    <xdr:to>
      <xdr:col>20</xdr:col>
      <xdr:colOff>342900</xdr:colOff>
      <xdr:row>5</xdr:row>
      <xdr:rowOff>167640</xdr:rowOff>
    </xdr:to>
    <xdr:sp macro="" textlink="'3Stmt_Model'!M16">
      <xdr:nvSpPr>
        <xdr:cNvPr id="3" name="Rectangle: Rounded Corners 2">
          <a:extLst>
            <a:ext uri="{FF2B5EF4-FFF2-40B4-BE49-F238E27FC236}">
              <a16:creationId xmlns:a16="http://schemas.microsoft.com/office/drawing/2014/main" id="{573BB3A2-84DF-457E-B043-C14925155E5D}"/>
            </a:ext>
          </a:extLst>
        </xdr:cNvPr>
        <xdr:cNvSpPr/>
      </xdr:nvSpPr>
      <xdr:spPr>
        <a:xfrm>
          <a:off x="10949940" y="129540"/>
          <a:ext cx="1584960" cy="95250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568161D-AF98-43B7-AD94-A6ABC624417D}" type="TxLink">
            <a:rPr lang="en-US" sz="2400" b="1" i="0" u="none" strike="noStrike">
              <a:solidFill>
                <a:srgbClr val="000000"/>
              </a:solidFill>
              <a:latin typeface="+mn-lt"/>
              <a:cs typeface="Calibri"/>
            </a:rPr>
            <a:pPr algn="l"/>
            <a:t>10%</a:t>
          </a:fld>
          <a:br>
            <a:rPr lang="en-US" sz="2400" b="1" i="0" u="none" strike="noStrike">
              <a:solidFill>
                <a:srgbClr val="000000"/>
              </a:solidFill>
              <a:latin typeface="+mn-lt"/>
              <a:cs typeface="Calibri"/>
            </a:rPr>
          </a:br>
          <a:r>
            <a:rPr lang="en-US" sz="1600" b="1">
              <a:latin typeface="+mn-lt"/>
            </a:rPr>
            <a:t>CAGR</a:t>
          </a:r>
        </a:p>
      </xdr:txBody>
    </xdr:sp>
    <xdr:clientData/>
  </xdr:twoCellAnchor>
  <xdr:twoCellAnchor>
    <xdr:from>
      <xdr:col>3</xdr:col>
      <xdr:colOff>335280</xdr:colOff>
      <xdr:row>0</xdr:row>
      <xdr:rowOff>160020</xdr:rowOff>
    </xdr:from>
    <xdr:to>
      <xdr:col>6</xdr:col>
      <xdr:colOff>91440</xdr:colOff>
      <xdr:row>6</xdr:row>
      <xdr:rowOff>15240</xdr:rowOff>
    </xdr:to>
    <xdr:sp macro="" textlink="'3Stmt_Model'!M5">
      <xdr:nvSpPr>
        <xdr:cNvPr id="5" name="Rectangle: Rounded Corners 4">
          <a:extLst>
            <a:ext uri="{FF2B5EF4-FFF2-40B4-BE49-F238E27FC236}">
              <a16:creationId xmlns:a16="http://schemas.microsoft.com/office/drawing/2014/main" id="{F3BEDA52-FAFC-490D-BE42-925302C9C4A9}"/>
            </a:ext>
          </a:extLst>
        </xdr:cNvPr>
        <xdr:cNvSpPr/>
      </xdr:nvSpPr>
      <xdr:spPr>
        <a:xfrm>
          <a:off x="2164080" y="160020"/>
          <a:ext cx="1584960" cy="95250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D9EE28B-416C-43F4-9970-9D62CA9A65A9}" type="TxLink">
            <a:rPr lang="en-US" sz="2400" b="1" i="0" u="none" strike="noStrike">
              <a:solidFill>
                <a:srgbClr val="000000"/>
              </a:solidFill>
              <a:latin typeface="+mn-lt"/>
              <a:cs typeface="Calibri"/>
            </a:rPr>
            <a:pPr algn="l"/>
            <a:t>94,908</a:t>
          </a:fld>
          <a:br>
            <a:rPr lang="en-US" sz="2400" b="1" i="0" u="none" strike="noStrike">
              <a:solidFill>
                <a:srgbClr val="000000"/>
              </a:solidFill>
              <a:latin typeface="+mn-lt"/>
              <a:cs typeface="Calibri"/>
            </a:rPr>
          </a:br>
          <a:r>
            <a:rPr lang="en-US" sz="1600" b="1">
              <a:latin typeface="+mn-lt"/>
            </a:rPr>
            <a:t>Revenue FY30E</a:t>
          </a:r>
        </a:p>
      </xdr:txBody>
    </xdr:sp>
    <xdr:clientData/>
  </xdr:twoCellAnchor>
  <xdr:twoCellAnchor>
    <xdr:from>
      <xdr:col>6</xdr:col>
      <xdr:colOff>274320</xdr:colOff>
      <xdr:row>0</xdr:row>
      <xdr:rowOff>144780</xdr:rowOff>
    </xdr:from>
    <xdr:to>
      <xdr:col>9</xdr:col>
      <xdr:colOff>30480</xdr:colOff>
      <xdr:row>6</xdr:row>
      <xdr:rowOff>0</xdr:rowOff>
    </xdr:to>
    <xdr:sp macro="" textlink="'3Stmt_Model'!M7">
      <xdr:nvSpPr>
        <xdr:cNvPr id="6" name="Rectangle: Rounded Corners 5">
          <a:extLst>
            <a:ext uri="{FF2B5EF4-FFF2-40B4-BE49-F238E27FC236}">
              <a16:creationId xmlns:a16="http://schemas.microsoft.com/office/drawing/2014/main" id="{9571EE4D-D5D1-4B75-ADCA-EA2420B13581}"/>
            </a:ext>
          </a:extLst>
        </xdr:cNvPr>
        <xdr:cNvSpPr/>
      </xdr:nvSpPr>
      <xdr:spPr>
        <a:xfrm>
          <a:off x="3931920" y="144780"/>
          <a:ext cx="1584960" cy="95250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758A6B5-CB44-47C5-AEE5-268BF55D327F}" type="TxLink">
            <a:rPr lang="en-US" sz="2400" b="1" i="0" u="none" strike="noStrike">
              <a:solidFill>
                <a:srgbClr val="000000"/>
              </a:solidFill>
              <a:latin typeface="+mn-lt"/>
              <a:cs typeface="Calibri"/>
            </a:rPr>
            <a:pPr algn="l"/>
            <a:t>26.00%</a:t>
          </a:fld>
          <a:br>
            <a:rPr lang="en-US" sz="2400" b="1" i="0" u="none" strike="noStrike">
              <a:solidFill>
                <a:srgbClr val="000000"/>
              </a:solidFill>
              <a:latin typeface="+mn-lt"/>
              <a:cs typeface="Calibri"/>
            </a:rPr>
          </a:br>
          <a:r>
            <a:rPr lang="en-US" sz="1600" b="1">
              <a:latin typeface="+mn-lt"/>
            </a:rPr>
            <a:t>EBITDA Margin FY30E</a:t>
          </a:r>
        </a:p>
      </xdr:txBody>
    </xdr:sp>
    <xdr:clientData/>
  </xdr:twoCellAnchor>
  <xdr:twoCellAnchor>
    <xdr:from>
      <xdr:col>9</xdr:col>
      <xdr:colOff>205740</xdr:colOff>
      <xdr:row>0</xdr:row>
      <xdr:rowOff>121920</xdr:rowOff>
    </xdr:from>
    <xdr:to>
      <xdr:col>11</xdr:col>
      <xdr:colOff>571500</xdr:colOff>
      <xdr:row>5</xdr:row>
      <xdr:rowOff>160020</xdr:rowOff>
    </xdr:to>
    <xdr:sp macro="" textlink="'3Stmt_Model'!M15">
      <xdr:nvSpPr>
        <xdr:cNvPr id="7" name="Rectangle: Rounded Corners 6">
          <a:extLst>
            <a:ext uri="{FF2B5EF4-FFF2-40B4-BE49-F238E27FC236}">
              <a16:creationId xmlns:a16="http://schemas.microsoft.com/office/drawing/2014/main" id="{29999B4A-A02C-4DDB-830C-A36B2387A66C}"/>
            </a:ext>
          </a:extLst>
        </xdr:cNvPr>
        <xdr:cNvSpPr/>
      </xdr:nvSpPr>
      <xdr:spPr>
        <a:xfrm>
          <a:off x="5692140" y="121920"/>
          <a:ext cx="1584960" cy="95250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1067B82-B803-4574-8F95-64D65E2B0272}" type="TxLink">
            <a:rPr lang="en-US" sz="2400" b="1" i="0" u="none" strike="noStrike">
              <a:solidFill>
                <a:srgbClr val="000000"/>
              </a:solidFill>
              <a:latin typeface="+mn-lt"/>
              <a:cs typeface="Calibri"/>
            </a:rPr>
            <a:pPr algn="l"/>
            <a:t>16,780</a:t>
          </a:fld>
          <a:br>
            <a:rPr lang="en-US" sz="2400" b="1" i="0" u="none" strike="noStrike">
              <a:solidFill>
                <a:srgbClr val="000000"/>
              </a:solidFill>
              <a:latin typeface="+mn-lt"/>
              <a:cs typeface="Calibri"/>
            </a:rPr>
          </a:br>
          <a:r>
            <a:rPr lang="en-US" sz="1600" b="1">
              <a:latin typeface="+mn-lt"/>
            </a:rPr>
            <a:t>PAT FY30E</a:t>
          </a:r>
        </a:p>
      </xdr:txBody>
    </xdr:sp>
    <xdr:clientData/>
  </xdr:twoCellAnchor>
  <xdr:twoCellAnchor>
    <xdr:from>
      <xdr:col>12</xdr:col>
      <xdr:colOff>106680</xdr:colOff>
      <xdr:row>0</xdr:row>
      <xdr:rowOff>114300</xdr:rowOff>
    </xdr:from>
    <xdr:to>
      <xdr:col>14</xdr:col>
      <xdr:colOff>472440</xdr:colOff>
      <xdr:row>5</xdr:row>
      <xdr:rowOff>152400</xdr:rowOff>
    </xdr:to>
    <xdr:sp macro="" textlink="' DCF'!C54">
      <xdr:nvSpPr>
        <xdr:cNvPr id="8" name="Rectangle: Rounded Corners 7">
          <a:extLst>
            <a:ext uri="{FF2B5EF4-FFF2-40B4-BE49-F238E27FC236}">
              <a16:creationId xmlns:a16="http://schemas.microsoft.com/office/drawing/2014/main" id="{DE0E8FF2-C48D-474D-A879-E5A62DAFA756}"/>
            </a:ext>
          </a:extLst>
        </xdr:cNvPr>
        <xdr:cNvSpPr/>
      </xdr:nvSpPr>
      <xdr:spPr>
        <a:xfrm>
          <a:off x="7421880" y="114300"/>
          <a:ext cx="1584960" cy="95250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A954DAE-41D2-46E5-BECD-C5C1AD3DE0CE}" type="TxLink">
            <a:rPr lang="en-US" sz="2400" b="1" i="0" u="none" strike="noStrike">
              <a:solidFill>
                <a:srgbClr val="000000"/>
              </a:solidFill>
              <a:latin typeface="+mn-lt"/>
              <a:cs typeface="Calibri"/>
            </a:rPr>
            <a:pPr algn="l"/>
            <a:t>208,758</a:t>
          </a:fld>
          <a:br>
            <a:rPr lang="en-US" sz="2400" b="1" i="0" u="none" strike="noStrike">
              <a:solidFill>
                <a:srgbClr val="000000"/>
              </a:solidFill>
              <a:latin typeface="+mn-lt"/>
              <a:cs typeface="Calibri"/>
            </a:rPr>
          </a:br>
          <a:r>
            <a:rPr lang="en-US" sz="1600" b="1">
              <a:latin typeface="+mn-lt"/>
            </a:rPr>
            <a:t>Enterprise Value</a:t>
          </a:r>
        </a:p>
      </xdr:txBody>
    </xdr:sp>
    <xdr:clientData/>
  </xdr:twoCellAnchor>
  <xdr:twoCellAnchor>
    <xdr:from>
      <xdr:col>3</xdr:col>
      <xdr:colOff>144780</xdr:colOff>
      <xdr:row>7</xdr:row>
      <xdr:rowOff>0</xdr:rowOff>
    </xdr:from>
    <xdr:to>
      <xdr:col>9</xdr:col>
      <xdr:colOff>335280</xdr:colOff>
      <xdr:row>19</xdr:row>
      <xdr:rowOff>15240</xdr:rowOff>
    </xdr:to>
    <xdr:graphicFrame macro="">
      <xdr:nvGraphicFramePr>
        <xdr:cNvPr id="10" name="Chart 9">
          <a:extLst>
            <a:ext uri="{FF2B5EF4-FFF2-40B4-BE49-F238E27FC236}">
              <a16:creationId xmlns:a16="http://schemas.microsoft.com/office/drawing/2014/main" id="{6AA081E8-AF5F-4A28-8812-15352CDC1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114300</xdr:colOff>
      <xdr:row>6</xdr:row>
      <xdr:rowOff>167640</xdr:rowOff>
    </xdr:from>
    <xdr:to>
      <xdr:col>21</xdr:col>
      <xdr:colOff>60960</xdr:colOff>
      <xdr:row>18</xdr:row>
      <xdr:rowOff>167640</xdr:rowOff>
    </xdr:to>
    <xdr:graphicFrame macro="">
      <xdr:nvGraphicFramePr>
        <xdr:cNvPr id="11" name="Chart 10">
          <a:extLst>
            <a:ext uri="{FF2B5EF4-FFF2-40B4-BE49-F238E27FC236}">
              <a16:creationId xmlns:a16="http://schemas.microsoft.com/office/drawing/2014/main" id="{244B044B-F711-458A-AFDF-718265FB8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480060</xdr:colOff>
      <xdr:row>7</xdr:row>
      <xdr:rowOff>0</xdr:rowOff>
    </xdr:from>
    <xdr:to>
      <xdr:col>15</xdr:col>
      <xdr:colOff>579120</xdr:colOff>
      <xdr:row>19</xdr:row>
      <xdr:rowOff>7620</xdr:rowOff>
    </xdr:to>
    <xdr:graphicFrame macro="">
      <xdr:nvGraphicFramePr>
        <xdr:cNvPr id="12" name="Chart 11">
          <a:extLst>
            <a:ext uri="{FF2B5EF4-FFF2-40B4-BE49-F238E27FC236}">
              <a16:creationId xmlns:a16="http://schemas.microsoft.com/office/drawing/2014/main" id="{56C58E38-7693-4C35-B42D-DF9E6DB2B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541020</xdr:colOff>
      <xdr:row>19</xdr:row>
      <xdr:rowOff>152400</xdr:rowOff>
    </xdr:from>
    <xdr:to>
      <xdr:col>16</xdr:col>
      <xdr:colOff>106680</xdr:colOff>
      <xdr:row>33</xdr:row>
      <xdr:rowOff>114300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595F84E6-8A95-4933-8BD7-7B1D969BF5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417820" y="3627120"/>
              <a:ext cx="4442460" cy="25222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331470</xdr:colOff>
      <xdr:row>1</xdr:row>
      <xdr:rowOff>80010</xdr:rowOff>
    </xdr:from>
    <xdr:to>
      <xdr:col>12</xdr:col>
      <xdr:colOff>26670</xdr:colOff>
      <xdr:row>16</xdr:row>
      <xdr:rowOff>80010</xdr:rowOff>
    </xdr:to>
    <xdr:graphicFrame macro="">
      <xdr:nvGraphicFramePr>
        <xdr:cNvPr id="2" name="Chart 1">
          <a:extLst>
            <a:ext uri="{FF2B5EF4-FFF2-40B4-BE49-F238E27FC236}">
              <a16:creationId xmlns:a16="http://schemas.microsoft.com/office/drawing/2014/main" id="{6646692A-D5A3-927D-7161-979635DDD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148590</xdr:colOff>
      <xdr:row>16</xdr:row>
      <xdr:rowOff>87630</xdr:rowOff>
    </xdr:from>
    <xdr:to>
      <xdr:col>13</xdr:col>
      <xdr:colOff>453390</xdr:colOff>
      <xdr:row>31</xdr:row>
      <xdr:rowOff>87630</xdr:rowOff>
    </xdr:to>
    <xdr:graphicFrame macro="">
      <xdr:nvGraphicFramePr>
        <xdr:cNvPr id="3" name="Chart 2">
          <a:extLst>
            <a:ext uri="{FF2B5EF4-FFF2-40B4-BE49-F238E27FC236}">
              <a16:creationId xmlns:a16="http://schemas.microsoft.com/office/drawing/2014/main" id="{E28D0366-EF41-6D69-4589-5977E6E068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243840</xdr:colOff>
      <xdr:row>32</xdr:row>
      <xdr:rowOff>163830</xdr:rowOff>
    </xdr:from>
    <xdr:to>
      <xdr:col>13</xdr:col>
      <xdr:colOff>548640</xdr:colOff>
      <xdr:row>47</xdr:row>
      <xdr:rowOff>163830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4B4F797-C904-C305-D394-6870C8F188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901440" y="60159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0.526024652776" createdVersion="8" refreshedVersion="8" minRefreshableVersion="3" recordCount="11" xr:uid="{B3FDFB48-4EF9-47C2-BD2D-48E032F9A070}">
  <cacheSource type="worksheet">
    <worksheetSource ref="B2:M13" sheet="Sheet8"/>
  </cacheSource>
  <cacheFields count="12">
    <cacheField name="Particulars" numFmtId="0">
      <sharedItems count="11">
        <s v="FY20"/>
        <s v="FY21"/>
        <s v="FY22"/>
        <s v="FY23"/>
        <s v="FY24"/>
        <s v="FY25"/>
        <s v="FY26E"/>
        <s v="FY27E"/>
        <s v="FY28E"/>
        <s v="FY29E"/>
        <s v="FY30E"/>
      </sharedItems>
    </cacheField>
    <cacheField name="Revenue" numFmtId="0">
      <sharedItems containsSemiMixedTypes="0" containsString="0" containsNumber="1" containsInteger="1" minValue="38273" maxValue="94908"/>
    </cacheField>
    <cacheField name="Growth %" numFmtId="0">
      <sharedItems containsString="0" containsBlank="1" containsNumber="1" minValue="2.5000000000000001E-2" maxValue="0.184"/>
    </cacheField>
    <cacheField name="EBITDA Margin %" numFmtId="0">
      <sharedItems containsSemiMixedTypes="0" containsString="0" containsNumber="1" minValue="0.16900000000000001" maxValue="0.26"/>
    </cacheField>
    <cacheField name="EBITDA" numFmtId="0">
      <sharedItems containsSemiMixedTypes="0" containsString="0" containsNumber="1" containsInteger="1" minValue="8097" maxValue="24676"/>
    </cacheField>
    <cacheField name="Depreciation" numFmtId="0">
      <sharedItems containsSemiMixedTypes="0" containsString="0" containsNumber="1" containsInteger="1" minValue="800" maxValue="2088"/>
    </cacheField>
    <cacheField name="EBIT" numFmtId="0">
      <sharedItems containsSemiMixedTypes="0" containsString="0" containsNumber="1" containsInteger="1" minValue="7297" maxValue="22588"/>
    </cacheField>
    <cacheField name="Finance Cost" numFmtId="0">
      <sharedItems containsSemiMixedTypes="0" containsString="0" containsNumber="1" containsInteger="1" minValue="65" maxValue="150"/>
    </cacheField>
    <cacheField name="PBT" numFmtId="0">
      <sharedItems containsSemiMixedTypes="0" containsString="0" containsNumber="1" containsInteger="1" minValue="7147" maxValue="22523"/>
    </cacheField>
    <cacheField name="Tax Rate %" numFmtId="0">
      <sharedItems containsSemiMixedTypes="0" containsString="0" containsNumber="1" minValue="-0.16300000000000001" maxValue="0.255"/>
    </cacheField>
    <cacheField name="Tax Expense" numFmtId="0">
      <sharedItems containsSemiMixedTypes="0" containsString="0" containsNumber="1" containsInteger="1" minValue="-1570" maxValue="5743"/>
    </cacheField>
    <cacheField name="PAT" numFmtId="0">
      <sharedItems containsSemiMixedTypes="0" containsString="0" containsNumber="1" containsInteger="1" minValue="6738" maxValue="1678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38273"/>
    <m/>
    <n v="0.21199999999999999"/>
    <n v="8097"/>
    <n v="800"/>
    <n v="7297"/>
    <n v="150"/>
    <n v="7147"/>
    <n v="5.7000000000000002E-2"/>
    <n v="409"/>
    <n v="6738"/>
  </r>
  <r>
    <x v="1"/>
    <n v="45311"/>
    <n v="0.184"/>
    <n v="0.19"/>
    <n v="8608"/>
    <n v="900"/>
    <n v="7708"/>
    <n v="120"/>
    <n v="7588"/>
    <n v="-4.8000000000000001E-2"/>
    <n v="-366"/>
    <n v="7954"/>
  </r>
  <r>
    <x v="2"/>
    <n v="50336"/>
    <n v="0.111"/>
    <n v="0.18"/>
    <n v="9041"/>
    <n v="1000"/>
    <n v="8041"/>
    <n v="110"/>
    <n v="7931"/>
    <n v="-0.112"/>
    <n v="-887"/>
    <n v="8818"/>
  </r>
  <r>
    <x v="3"/>
    <n v="58154"/>
    <n v="0.155"/>
    <n v="0.16900000000000001"/>
    <n v="9834"/>
    <n v="1100"/>
    <n v="8734"/>
    <n v="100"/>
    <n v="8634"/>
    <n v="-0.154"/>
    <n v="-1328"/>
    <n v="9962"/>
  </r>
  <r>
    <x v="4"/>
    <n v="59579"/>
    <n v="2.5000000000000001E-2"/>
    <n v="0.184"/>
    <n v="10979"/>
    <n v="1200"/>
    <n v="9779"/>
    <n v="95"/>
    <n v="9684"/>
    <n v="-0.16300000000000001"/>
    <n v="-1570"/>
    <n v="10114"/>
  </r>
  <r>
    <x v="5"/>
    <n v="63121"/>
    <n v="5.8999999999999997E-2"/>
    <n v="0.23499999999999999"/>
    <n v="14834"/>
    <n v="1262"/>
    <n v="13572"/>
    <n v="90"/>
    <n v="13482"/>
    <n v="0.255"/>
    <n v="3438"/>
    <n v="10044"/>
  </r>
  <r>
    <x v="6"/>
    <n v="68802"/>
    <n v="0.09"/>
    <n v="0.245"/>
    <n v="16857"/>
    <n v="1376"/>
    <n v="15481"/>
    <n v="85"/>
    <n v="15396"/>
    <n v="0.255"/>
    <n v="3926"/>
    <n v="11470"/>
  </r>
  <r>
    <x v="7"/>
    <n v="74994"/>
    <n v="0.09"/>
    <n v="0.25"/>
    <n v="18749"/>
    <n v="1500"/>
    <n v="17249"/>
    <n v="80"/>
    <n v="17169"/>
    <n v="0.255"/>
    <n v="4378"/>
    <n v="12791"/>
  </r>
  <r>
    <x v="8"/>
    <n v="81368"/>
    <n v="8.5000000000000006E-2"/>
    <n v="0.255"/>
    <n v="20749"/>
    <n v="1709"/>
    <n v="19040"/>
    <n v="75"/>
    <n v="18965"/>
    <n v="0.255"/>
    <n v="4836"/>
    <n v="14129"/>
  </r>
  <r>
    <x v="9"/>
    <n v="87878"/>
    <n v="0.08"/>
    <n v="0.25800000000000001"/>
    <n v="22673"/>
    <n v="1845"/>
    <n v="20828"/>
    <n v="70"/>
    <n v="20758"/>
    <n v="0.255"/>
    <n v="5293"/>
    <n v="15465"/>
  </r>
  <r>
    <x v="10"/>
    <n v="94908"/>
    <n v="0.08"/>
    <n v="0.26"/>
    <n v="24676"/>
    <n v="2088"/>
    <n v="22588"/>
    <n v="65"/>
    <n v="22523"/>
    <n v="0.255"/>
    <n v="5743"/>
    <n v="167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18E1F4-86E3-4228-AEA1-AE099F9B46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7:D29" firstHeaderRow="0" firstDataRow="1" firstDataCol="1"/>
  <pivotFields count="12">
    <pivotField axis="axisRow" showAll="0">
      <items count="12">
        <item x="0"/>
        <item x="1"/>
        <item x="2"/>
        <item x="3"/>
        <item x="4"/>
        <item x="5"/>
        <item x="6"/>
        <item x="7"/>
        <item x="8"/>
        <item x="9"/>
        <item x="10"/>
        <item t="default"/>
      </items>
    </pivotField>
    <pivotField dataField="1"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Revenue" fld="1" baseField="0" baseItem="3"/>
    <dataField name="Sum of EBITDA"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23"/>
  <sheetViews>
    <sheetView tabSelected="1" workbookViewId="0">
      <selection activeCell="A15" sqref="A15"/>
    </sheetView>
  </sheetViews>
  <sheetFormatPr defaultRowHeight="14.4" x14ac:dyDescent="0.3"/>
  <cols>
    <col min="1" max="16384" width="8.88671875" style="2"/>
  </cols>
  <sheetData>
    <row r="1" spans="2:17" x14ac:dyDescent="0.3">
      <c r="B1" s="40"/>
      <c r="C1" s="40"/>
      <c r="D1" s="40"/>
      <c r="E1" s="40"/>
      <c r="F1" s="40"/>
      <c r="G1" s="40"/>
      <c r="H1" s="40"/>
      <c r="I1" s="40"/>
      <c r="J1" s="40"/>
      <c r="K1" s="40"/>
      <c r="L1" s="40"/>
      <c r="M1" s="40"/>
      <c r="N1" s="40"/>
      <c r="O1" s="40"/>
      <c r="P1" s="40"/>
      <c r="Q1" s="40"/>
    </row>
    <row r="2" spans="2:17" ht="14.4" customHeight="1" x14ac:dyDescent="0.3">
      <c r="B2" s="41" t="s">
        <v>294</v>
      </c>
      <c r="C2" s="41"/>
      <c r="D2" s="41"/>
      <c r="E2" s="41"/>
      <c r="F2" s="41"/>
      <c r="G2" s="41"/>
      <c r="H2" s="41"/>
      <c r="I2" s="41"/>
      <c r="J2" s="41"/>
      <c r="K2" s="41"/>
      <c r="L2" s="41"/>
      <c r="M2" s="41"/>
      <c r="N2" s="41"/>
      <c r="O2" s="41"/>
      <c r="P2" s="41"/>
      <c r="Q2" s="41"/>
    </row>
    <row r="3" spans="2:17" x14ac:dyDescent="0.3">
      <c r="B3" s="41"/>
      <c r="C3" s="41"/>
      <c r="D3" s="41"/>
      <c r="E3" s="41"/>
      <c r="F3" s="41"/>
      <c r="G3" s="41"/>
      <c r="H3" s="41"/>
      <c r="I3" s="41"/>
      <c r="J3" s="41"/>
      <c r="K3" s="41"/>
      <c r="L3" s="41"/>
      <c r="M3" s="41"/>
      <c r="N3" s="41"/>
      <c r="O3" s="41"/>
      <c r="P3" s="41"/>
      <c r="Q3" s="41"/>
    </row>
    <row r="4" spans="2:17" x14ac:dyDescent="0.3">
      <c r="B4" s="41"/>
      <c r="C4" s="41"/>
      <c r="D4" s="41"/>
      <c r="E4" s="41"/>
      <c r="F4" s="41"/>
      <c r="G4" s="41"/>
      <c r="H4" s="41"/>
      <c r="I4" s="41"/>
      <c r="J4" s="41"/>
      <c r="K4" s="41"/>
      <c r="L4" s="41"/>
      <c r="M4" s="41"/>
      <c r="N4" s="41"/>
      <c r="O4" s="41"/>
      <c r="P4" s="41"/>
      <c r="Q4" s="41"/>
    </row>
    <row r="5" spans="2:17" x14ac:dyDescent="0.3">
      <c r="B5" s="41"/>
      <c r="C5" s="41"/>
      <c r="D5" s="41"/>
      <c r="E5" s="41"/>
      <c r="F5" s="41"/>
      <c r="G5" s="41"/>
      <c r="H5" s="41"/>
      <c r="I5" s="41"/>
      <c r="J5" s="41"/>
      <c r="K5" s="41"/>
      <c r="L5" s="41"/>
      <c r="M5" s="41"/>
      <c r="N5" s="41"/>
      <c r="O5" s="41"/>
      <c r="P5" s="41"/>
      <c r="Q5" s="41"/>
    </row>
    <row r="6" spans="2:17" x14ac:dyDescent="0.3">
      <c r="B6" s="41"/>
      <c r="C6" s="41"/>
      <c r="D6" s="41"/>
      <c r="E6" s="41"/>
      <c r="F6" s="41"/>
      <c r="G6" s="41"/>
      <c r="H6" s="41"/>
      <c r="I6" s="41"/>
      <c r="J6" s="41"/>
      <c r="K6" s="41"/>
      <c r="L6" s="41"/>
      <c r="M6" s="41"/>
      <c r="N6" s="41"/>
      <c r="O6" s="41"/>
      <c r="P6" s="41"/>
      <c r="Q6" s="41"/>
    </row>
    <row r="7" spans="2:17" x14ac:dyDescent="0.3">
      <c r="B7" s="41"/>
      <c r="C7" s="41"/>
      <c r="D7" s="41"/>
      <c r="E7" s="41"/>
      <c r="F7" s="41"/>
      <c r="G7" s="41"/>
      <c r="H7" s="41"/>
      <c r="I7" s="41"/>
      <c r="J7" s="41"/>
      <c r="K7" s="41"/>
      <c r="L7" s="41"/>
      <c r="M7" s="41"/>
      <c r="N7" s="41"/>
      <c r="O7" s="41"/>
      <c r="P7" s="41"/>
      <c r="Q7" s="41"/>
    </row>
    <row r="8" spans="2:17" x14ac:dyDescent="0.3">
      <c r="B8" s="41"/>
      <c r="C8" s="41"/>
      <c r="D8" s="41"/>
      <c r="E8" s="41"/>
      <c r="F8" s="41"/>
      <c r="G8" s="41"/>
      <c r="H8" s="41"/>
      <c r="I8" s="41"/>
      <c r="J8" s="41"/>
      <c r="K8" s="41"/>
      <c r="L8" s="41"/>
      <c r="M8" s="41"/>
      <c r="N8" s="41"/>
      <c r="O8" s="41"/>
      <c r="P8" s="41"/>
      <c r="Q8" s="41"/>
    </row>
    <row r="9" spans="2:17" x14ac:dyDescent="0.3">
      <c r="B9" s="41"/>
      <c r="C9" s="41"/>
      <c r="D9" s="41"/>
      <c r="E9" s="41"/>
      <c r="F9" s="41"/>
      <c r="G9" s="41"/>
      <c r="H9" s="41"/>
      <c r="I9" s="41"/>
      <c r="J9" s="41"/>
      <c r="K9" s="41"/>
      <c r="L9" s="41"/>
      <c r="M9" s="41"/>
      <c r="N9" s="41"/>
      <c r="O9" s="41"/>
      <c r="P9" s="41"/>
      <c r="Q9" s="41"/>
    </row>
    <row r="10" spans="2:17" x14ac:dyDescent="0.3">
      <c r="B10" s="41"/>
      <c r="C10" s="41"/>
      <c r="D10" s="41"/>
      <c r="E10" s="41"/>
      <c r="F10" s="41"/>
      <c r="G10" s="41"/>
      <c r="H10" s="41"/>
      <c r="I10" s="41"/>
      <c r="J10" s="41"/>
      <c r="K10" s="41"/>
      <c r="L10" s="41"/>
      <c r="M10" s="41"/>
      <c r="N10" s="41"/>
      <c r="O10" s="41"/>
      <c r="P10" s="41"/>
      <c r="Q10" s="41"/>
    </row>
    <row r="11" spans="2:17" x14ac:dyDescent="0.3">
      <c r="B11" s="41"/>
      <c r="C11" s="41"/>
      <c r="D11" s="41"/>
      <c r="E11" s="41"/>
      <c r="F11" s="41"/>
      <c r="G11" s="41"/>
      <c r="H11" s="41"/>
      <c r="I11" s="41"/>
      <c r="J11" s="41"/>
      <c r="K11" s="41"/>
      <c r="L11" s="41"/>
      <c r="M11" s="41"/>
      <c r="N11" s="41"/>
      <c r="O11" s="41"/>
      <c r="P11" s="41"/>
      <c r="Q11" s="41"/>
    </row>
    <row r="12" spans="2:17" x14ac:dyDescent="0.3">
      <c r="B12" s="41"/>
      <c r="C12" s="41"/>
      <c r="D12" s="41"/>
      <c r="E12" s="41"/>
      <c r="F12" s="41"/>
      <c r="G12" s="41"/>
      <c r="H12" s="41"/>
      <c r="I12" s="41"/>
      <c r="J12" s="41"/>
      <c r="K12" s="41"/>
      <c r="L12" s="41"/>
      <c r="M12" s="41"/>
      <c r="N12" s="41"/>
      <c r="O12" s="41"/>
      <c r="P12" s="41"/>
      <c r="Q12" s="41"/>
    </row>
    <row r="13" spans="2:17" x14ac:dyDescent="0.3">
      <c r="B13" s="41"/>
      <c r="C13" s="41"/>
      <c r="D13" s="41"/>
      <c r="E13" s="41"/>
      <c r="F13" s="41"/>
      <c r="G13" s="41"/>
      <c r="H13" s="41"/>
      <c r="I13" s="41"/>
      <c r="J13" s="41"/>
      <c r="K13" s="41"/>
      <c r="L13" s="41"/>
      <c r="M13" s="41"/>
      <c r="N13" s="41"/>
      <c r="O13" s="41"/>
      <c r="P13" s="41"/>
      <c r="Q13" s="41"/>
    </row>
    <row r="14" spans="2:17" x14ac:dyDescent="0.3">
      <c r="B14" s="41"/>
      <c r="C14" s="41"/>
      <c r="D14" s="41"/>
      <c r="E14" s="41"/>
      <c r="F14" s="41"/>
      <c r="G14" s="41"/>
      <c r="H14" s="41"/>
      <c r="I14" s="41"/>
      <c r="J14" s="41"/>
      <c r="K14" s="41"/>
      <c r="L14" s="41"/>
      <c r="M14" s="41"/>
      <c r="N14" s="41"/>
      <c r="O14" s="41"/>
      <c r="P14" s="41"/>
      <c r="Q14" s="41"/>
    </row>
    <row r="15" spans="2:17" x14ac:dyDescent="0.3">
      <c r="B15" s="41"/>
      <c r="C15" s="41"/>
      <c r="D15" s="41"/>
      <c r="E15" s="41"/>
      <c r="F15" s="41"/>
      <c r="G15" s="41"/>
      <c r="H15" s="41"/>
      <c r="I15" s="41"/>
      <c r="J15" s="41"/>
      <c r="K15" s="41"/>
      <c r="L15" s="41"/>
      <c r="M15" s="41"/>
      <c r="N15" s="41"/>
      <c r="O15" s="41"/>
      <c r="P15" s="41"/>
      <c r="Q15" s="41"/>
    </row>
    <row r="16" spans="2:17" x14ac:dyDescent="0.3">
      <c r="B16" s="41"/>
      <c r="C16" s="41"/>
      <c r="D16" s="41"/>
      <c r="E16" s="41"/>
      <c r="F16" s="41"/>
      <c r="G16" s="41"/>
      <c r="H16" s="41"/>
      <c r="I16" s="41"/>
      <c r="J16" s="41"/>
      <c r="K16" s="41"/>
      <c r="L16" s="41"/>
      <c r="M16" s="41"/>
      <c r="N16" s="41"/>
      <c r="O16" s="41"/>
      <c r="P16" s="41"/>
      <c r="Q16" s="41"/>
    </row>
    <row r="17" spans="2:17" x14ac:dyDescent="0.3">
      <c r="B17" s="41"/>
      <c r="C17" s="41"/>
      <c r="D17" s="41"/>
      <c r="E17" s="41"/>
      <c r="F17" s="41"/>
      <c r="G17" s="41"/>
      <c r="H17" s="41"/>
      <c r="I17" s="41"/>
      <c r="J17" s="41"/>
      <c r="K17" s="41"/>
      <c r="L17" s="41"/>
      <c r="M17" s="41"/>
      <c r="N17" s="41"/>
      <c r="O17" s="41"/>
      <c r="P17" s="41"/>
      <c r="Q17" s="41"/>
    </row>
    <row r="18" spans="2:17" x14ac:dyDescent="0.3">
      <c r="B18" s="41"/>
      <c r="C18" s="41"/>
      <c r="D18" s="41"/>
      <c r="E18" s="41"/>
      <c r="F18" s="41"/>
      <c r="G18" s="41"/>
      <c r="H18" s="41"/>
      <c r="I18" s="41"/>
      <c r="J18" s="41"/>
      <c r="K18" s="41"/>
      <c r="L18" s="41"/>
      <c r="M18" s="41"/>
      <c r="N18" s="41"/>
      <c r="O18" s="41"/>
      <c r="P18" s="41"/>
      <c r="Q18" s="41"/>
    </row>
    <row r="19" spans="2:17" x14ac:dyDescent="0.3">
      <c r="B19" s="41"/>
      <c r="C19" s="41"/>
      <c r="D19" s="41"/>
      <c r="E19" s="41"/>
      <c r="F19" s="41"/>
      <c r="G19" s="41"/>
      <c r="H19" s="41"/>
      <c r="I19" s="41"/>
      <c r="J19" s="41"/>
      <c r="K19" s="41"/>
      <c r="L19" s="41"/>
      <c r="M19" s="41"/>
      <c r="N19" s="41"/>
      <c r="O19" s="41"/>
      <c r="P19" s="41"/>
      <c r="Q19" s="41"/>
    </row>
    <row r="20" spans="2:17" x14ac:dyDescent="0.3">
      <c r="B20" s="41"/>
      <c r="C20" s="41"/>
      <c r="D20" s="41"/>
      <c r="E20" s="41"/>
      <c r="F20" s="41"/>
      <c r="G20" s="41"/>
      <c r="H20" s="41"/>
      <c r="I20" s="41"/>
      <c r="J20" s="41"/>
      <c r="K20" s="41"/>
      <c r="L20" s="41"/>
      <c r="M20" s="41"/>
      <c r="N20" s="41"/>
      <c r="O20" s="41"/>
      <c r="P20" s="41"/>
      <c r="Q20" s="41"/>
    </row>
    <row r="21" spans="2:17" x14ac:dyDescent="0.3">
      <c r="B21" s="41"/>
      <c r="C21" s="41"/>
      <c r="D21" s="41"/>
      <c r="E21" s="41"/>
      <c r="F21" s="41"/>
      <c r="G21" s="41"/>
      <c r="H21" s="41"/>
      <c r="I21" s="41"/>
      <c r="J21" s="41"/>
      <c r="K21" s="41"/>
      <c r="L21" s="41"/>
      <c r="M21" s="41"/>
      <c r="N21" s="41"/>
      <c r="O21" s="41"/>
      <c r="P21" s="41"/>
      <c r="Q21" s="41"/>
    </row>
    <row r="22" spans="2:17" x14ac:dyDescent="0.3">
      <c r="B22" s="41"/>
      <c r="C22" s="41"/>
      <c r="D22" s="41"/>
      <c r="E22" s="41"/>
      <c r="F22" s="41"/>
      <c r="G22" s="41"/>
      <c r="H22" s="41"/>
      <c r="I22" s="41"/>
      <c r="J22" s="41"/>
      <c r="K22" s="41"/>
      <c r="L22" s="41"/>
      <c r="M22" s="41"/>
      <c r="N22" s="41"/>
      <c r="O22" s="41"/>
      <c r="P22" s="41"/>
      <c r="Q22" s="41"/>
    </row>
    <row r="23" spans="2:17" x14ac:dyDescent="0.3">
      <c r="B23" s="41"/>
      <c r="C23" s="41"/>
      <c r="D23" s="41"/>
      <c r="E23" s="41"/>
      <c r="F23" s="41"/>
      <c r="G23" s="41"/>
      <c r="H23" s="41"/>
      <c r="I23" s="41"/>
      <c r="J23" s="41"/>
      <c r="K23" s="41"/>
      <c r="L23" s="41"/>
      <c r="M23" s="41"/>
      <c r="N23" s="41"/>
      <c r="O23" s="41"/>
      <c r="P23" s="41"/>
      <c r="Q23" s="41"/>
    </row>
  </sheetData>
  <mergeCells count="2">
    <mergeCell ref="B1:Q1"/>
    <mergeCell ref="B2:Q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F315-3988-47AE-9645-1F1028C564D3}">
  <dimension ref="A1"/>
  <sheetViews>
    <sheetView workbookViewId="0">
      <selection activeCell="R28" sqref="R28"/>
    </sheetView>
  </sheetViews>
  <sheetFormatPr defaultRowHeight="14.4" x14ac:dyDescent="0.3"/>
  <cols>
    <col min="1" max="16384" width="8.88671875" style="30"/>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A5482-B34F-46BB-AA51-CE8730B971EE}">
  <dimension ref="B2:M47"/>
  <sheetViews>
    <sheetView workbookViewId="0">
      <selection activeCell="N30" sqref="N30"/>
    </sheetView>
  </sheetViews>
  <sheetFormatPr defaultRowHeight="14.4" x14ac:dyDescent="0.3"/>
  <cols>
    <col min="1" max="1" width="8.88671875" style="2"/>
    <col min="2" max="2" width="18.44140625" style="2" bestFit="1" customWidth="1"/>
    <col min="3" max="3" width="9.5546875" style="2" customWidth="1"/>
    <col min="4" max="16384" width="8.88671875" style="2"/>
  </cols>
  <sheetData>
    <row r="2" spans="2:13" x14ac:dyDescent="0.3">
      <c r="B2" s="5" t="s">
        <v>169</v>
      </c>
    </row>
    <row r="4" spans="2:13" s="5" customFormat="1" x14ac:dyDescent="0.3">
      <c r="B4" s="11" t="s">
        <v>12</v>
      </c>
      <c r="C4" s="12" t="s">
        <v>92</v>
      </c>
      <c r="D4" s="12" t="s">
        <v>1</v>
      </c>
      <c r="E4" s="12" t="s">
        <v>2</v>
      </c>
      <c r="F4" s="12" t="s">
        <v>3</v>
      </c>
      <c r="G4" s="12" t="s">
        <v>4</v>
      </c>
      <c r="H4" s="12" t="s">
        <v>0</v>
      </c>
      <c r="I4" s="12" t="s">
        <v>56</v>
      </c>
      <c r="J4" s="12" t="s">
        <v>57</v>
      </c>
      <c r="K4" s="12" t="s">
        <v>58</v>
      </c>
      <c r="L4" s="12" t="s">
        <v>59</v>
      </c>
      <c r="M4" s="13" t="s">
        <v>60</v>
      </c>
    </row>
    <row r="5" spans="2:13" x14ac:dyDescent="0.3">
      <c r="B5" s="20" t="s">
        <v>164</v>
      </c>
      <c r="C5" s="21" t="s">
        <v>165</v>
      </c>
      <c r="D5" s="39">
        <v>0.184</v>
      </c>
      <c r="E5" s="39">
        <v>0.111</v>
      </c>
      <c r="F5" s="39">
        <v>0.155</v>
      </c>
      <c r="G5" s="39">
        <v>2.5000000000000001E-2</v>
      </c>
      <c r="H5" s="39">
        <v>5.8999999999999997E-2</v>
      </c>
      <c r="I5" s="39">
        <v>0.09</v>
      </c>
      <c r="J5" s="39">
        <v>0.09</v>
      </c>
      <c r="K5" s="39">
        <v>8.5000000000000006E-2</v>
      </c>
      <c r="L5" s="39">
        <v>0.08</v>
      </c>
      <c r="M5" s="31">
        <v>0.08</v>
      </c>
    </row>
    <row r="6" spans="2:13" x14ac:dyDescent="0.3">
      <c r="B6" s="23" t="s">
        <v>94</v>
      </c>
      <c r="C6" s="4">
        <v>0.21199999999999999</v>
      </c>
      <c r="D6" s="4">
        <v>0.19</v>
      </c>
      <c r="E6" s="4">
        <v>0.18</v>
      </c>
      <c r="F6" s="4">
        <v>0.16900000000000001</v>
      </c>
      <c r="G6" s="4">
        <v>0.184</v>
      </c>
      <c r="H6" s="4">
        <v>0.23499999999999999</v>
      </c>
      <c r="I6" s="4">
        <v>0.245</v>
      </c>
      <c r="J6" s="4">
        <v>0.25</v>
      </c>
      <c r="K6" s="4">
        <v>0.255</v>
      </c>
      <c r="L6" s="4">
        <v>0.25800000000000001</v>
      </c>
      <c r="M6" s="32">
        <v>0.26</v>
      </c>
    </row>
    <row r="7" spans="2:13" x14ac:dyDescent="0.3">
      <c r="B7" s="23" t="s">
        <v>166</v>
      </c>
      <c r="C7" s="4">
        <v>0.191</v>
      </c>
      <c r="D7" s="4">
        <v>0.17</v>
      </c>
      <c r="E7" s="4">
        <v>0.16</v>
      </c>
      <c r="F7" s="4">
        <v>0.15</v>
      </c>
      <c r="G7" s="4">
        <v>0.16400000000000001</v>
      </c>
      <c r="H7" s="4">
        <v>0.215</v>
      </c>
      <c r="I7" s="4">
        <v>0.22500000000000001</v>
      </c>
      <c r="J7" s="4">
        <v>0.23</v>
      </c>
      <c r="K7" s="4">
        <v>0.23400000000000001</v>
      </c>
      <c r="L7" s="4">
        <v>0.23699999999999999</v>
      </c>
      <c r="M7" s="32">
        <v>0.23799999999999999</v>
      </c>
    </row>
    <row r="8" spans="2:13" x14ac:dyDescent="0.3">
      <c r="B8" s="23" t="s">
        <v>167</v>
      </c>
      <c r="C8" s="4">
        <v>0.17599999999999999</v>
      </c>
      <c r="D8" s="4">
        <v>0.17599999999999999</v>
      </c>
      <c r="E8" s="4">
        <v>0.17499999999999999</v>
      </c>
      <c r="F8" s="4">
        <v>0.17100000000000001</v>
      </c>
      <c r="G8" s="4">
        <v>0.17</v>
      </c>
      <c r="H8" s="4">
        <v>0.159</v>
      </c>
      <c r="I8" s="4">
        <v>0.16700000000000001</v>
      </c>
      <c r="J8" s="4">
        <v>0.17100000000000001</v>
      </c>
      <c r="K8" s="4">
        <v>0.17399999999999999</v>
      </c>
      <c r="L8" s="4">
        <v>0.17599999999999999</v>
      </c>
      <c r="M8" s="32">
        <v>0.17699999999999999</v>
      </c>
    </row>
    <row r="9" spans="2:13" x14ac:dyDescent="0.3">
      <c r="B9" s="25" t="s">
        <v>168</v>
      </c>
      <c r="C9" s="26">
        <v>0.56299999999999994</v>
      </c>
      <c r="D9" s="26">
        <v>0.55600000000000005</v>
      </c>
      <c r="E9" s="26">
        <v>0.55100000000000005</v>
      </c>
      <c r="F9" s="26">
        <v>0.54500000000000004</v>
      </c>
      <c r="G9" s="26">
        <v>0.54</v>
      </c>
      <c r="H9" s="26">
        <v>0.55000000000000004</v>
      </c>
      <c r="I9" s="26">
        <v>0.55500000000000005</v>
      </c>
      <c r="J9" s="26">
        <v>0.56000000000000005</v>
      </c>
      <c r="K9" s="26">
        <v>0.56499999999999995</v>
      </c>
      <c r="L9" s="26">
        <v>0.56999999999999995</v>
      </c>
      <c r="M9" s="38">
        <v>0.56999999999999995</v>
      </c>
    </row>
    <row r="11" spans="2:13" x14ac:dyDescent="0.3">
      <c r="B11" s="5" t="s">
        <v>170</v>
      </c>
    </row>
    <row r="13" spans="2:13" s="5" customFormat="1" x14ac:dyDescent="0.3">
      <c r="B13" s="11" t="s">
        <v>12</v>
      </c>
      <c r="C13" s="12" t="s">
        <v>92</v>
      </c>
      <c r="D13" s="12" t="s">
        <v>1</v>
      </c>
      <c r="E13" s="12" t="s">
        <v>2</v>
      </c>
      <c r="F13" s="12" t="s">
        <v>3</v>
      </c>
      <c r="G13" s="12" t="s">
        <v>4</v>
      </c>
      <c r="H13" s="12" t="s">
        <v>0</v>
      </c>
      <c r="I13" s="12" t="s">
        <v>56</v>
      </c>
      <c r="J13" s="12" t="s">
        <v>57</v>
      </c>
      <c r="K13" s="12" t="s">
        <v>58</v>
      </c>
      <c r="L13" s="12" t="s">
        <v>59</v>
      </c>
      <c r="M13" s="13" t="s">
        <v>60</v>
      </c>
    </row>
    <row r="14" spans="2:13" x14ac:dyDescent="0.3">
      <c r="B14" s="20" t="s">
        <v>171</v>
      </c>
      <c r="C14" s="39">
        <v>0.79300000000000004</v>
      </c>
      <c r="D14" s="39">
        <v>0.83699999999999997</v>
      </c>
      <c r="E14" s="39">
        <v>0.76600000000000001</v>
      </c>
      <c r="F14" s="39">
        <v>0.72399999999999998</v>
      </c>
      <c r="G14" s="39">
        <v>0.64</v>
      </c>
      <c r="H14" s="39">
        <v>0.48899999999999999</v>
      </c>
      <c r="I14" s="39">
        <v>0.44900000000000001</v>
      </c>
      <c r="J14" s="39">
        <v>0.44800000000000001</v>
      </c>
      <c r="K14" s="39">
        <v>0.42</v>
      </c>
      <c r="L14" s="39">
        <v>0.37</v>
      </c>
      <c r="M14" s="31">
        <v>0.33600000000000002</v>
      </c>
    </row>
    <row r="15" spans="2:13" x14ac:dyDescent="0.3">
      <c r="B15" s="23" t="s">
        <v>172</v>
      </c>
      <c r="C15" s="4">
        <v>0.32900000000000001</v>
      </c>
      <c r="D15" s="4">
        <v>0.33100000000000002</v>
      </c>
      <c r="E15" s="4">
        <v>0.33300000000000002</v>
      </c>
      <c r="F15" s="4">
        <v>0.33200000000000002</v>
      </c>
      <c r="G15" s="4">
        <v>0.311</v>
      </c>
      <c r="H15" s="4">
        <v>0.26200000000000001</v>
      </c>
      <c r="I15" s="4">
        <v>0.252</v>
      </c>
      <c r="J15" s="4">
        <v>0.23899999999999999</v>
      </c>
      <c r="K15" s="4">
        <v>0.22800000000000001</v>
      </c>
      <c r="L15" s="4">
        <v>0.217</v>
      </c>
      <c r="M15" s="32">
        <v>0.20699999999999999</v>
      </c>
    </row>
    <row r="16" spans="2:13" x14ac:dyDescent="0.3">
      <c r="B16" s="25" t="s">
        <v>173</v>
      </c>
      <c r="C16" s="26">
        <v>0.69499999999999995</v>
      </c>
      <c r="D16" s="26">
        <v>0.61699999999999999</v>
      </c>
      <c r="E16" s="26">
        <v>0.58699999999999997</v>
      </c>
      <c r="F16" s="26">
        <v>0.58199999999999996</v>
      </c>
      <c r="G16" s="26">
        <v>0.56899999999999995</v>
      </c>
      <c r="H16" s="26">
        <v>0.44800000000000001</v>
      </c>
      <c r="I16" s="26">
        <v>0.42799999999999999</v>
      </c>
      <c r="J16" s="26">
        <v>0.42</v>
      </c>
      <c r="K16" s="26">
        <v>0.4</v>
      </c>
      <c r="L16" s="26">
        <v>0.378</v>
      </c>
      <c r="M16" s="38">
        <v>0.35499999999999998</v>
      </c>
    </row>
    <row r="18" spans="2:13" x14ac:dyDescent="0.3">
      <c r="B18" s="5" t="s">
        <v>174</v>
      </c>
    </row>
    <row r="20" spans="2:13" s="5" customFormat="1" x14ac:dyDescent="0.3">
      <c r="B20" s="11" t="s">
        <v>12</v>
      </c>
      <c r="C20" s="12" t="s">
        <v>92</v>
      </c>
      <c r="D20" s="12" t="s">
        <v>1</v>
      </c>
      <c r="E20" s="12" t="s">
        <v>2</v>
      </c>
      <c r="F20" s="12" t="s">
        <v>3</v>
      </c>
      <c r="G20" s="12" t="s">
        <v>4</v>
      </c>
      <c r="H20" s="12" t="s">
        <v>0</v>
      </c>
      <c r="I20" s="12" t="s">
        <v>56</v>
      </c>
      <c r="J20" s="12" t="s">
        <v>57</v>
      </c>
      <c r="K20" s="12" t="s">
        <v>58</v>
      </c>
      <c r="L20" s="12" t="s">
        <v>59</v>
      </c>
      <c r="M20" s="13" t="s">
        <v>60</v>
      </c>
    </row>
    <row r="21" spans="2:13" x14ac:dyDescent="0.3">
      <c r="B21" s="20" t="s">
        <v>163</v>
      </c>
      <c r="C21" s="21" t="s">
        <v>175</v>
      </c>
      <c r="D21" s="21" t="s">
        <v>176</v>
      </c>
      <c r="E21" s="21" t="s">
        <v>177</v>
      </c>
      <c r="F21" s="21" t="s">
        <v>178</v>
      </c>
      <c r="G21" s="21" t="s">
        <v>178</v>
      </c>
      <c r="H21" s="21" t="s">
        <v>179</v>
      </c>
      <c r="I21" s="21" t="s">
        <v>180</v>
      </c>
      <c r="J21" s="21" t="s">
        <v>181</v>
      </c>
      <c r="K21" s="21" t="s">
        <v>182</v>
      </c>
      <c r="L21" s="21" t="s">
        <v>183</v>
      </c>
      <c r="M21" s="22" t="s">
        <v>184</v>
      </c>
    </row>
    <row r="22" spans="2:13" x14ac:dyDescent="0.3">
      <c r="B22" s="23" t="s">
        <v>185</v>
      </c>
      <c r="C22" s="2" t="s">
        <v>186</v>
      </c>
      <c r="D22" s="2" t="s">
        <v>187</v>
      </c>
      <c r="E22" s="2" t="s">
        <v>188</v>
      </c>
      <c r="F22" s="2" t="s">
        <v>189</v>
      </c>
      <c r="G22" s="2" t="s">
        <v>189</v>
      </c>
      <c r="H22" s="2" t="s">
        <v>190</v>
      </c>
      <c r="I22" s="2" t="s">
        <v>191</v>
      </c>
      <c r="J22" s="2" t="s">
        <v>179</v>
      </c>
      <c r="K22" s="2" t="s">
        <v>192</v>
      </c>
      <c r="L22" s="2" t="s">
        <v>193</v>
      </c>
      <c r="M22" s="8" t="s">
        <v>194</v>
      </c>
    </row>
    <row r="23" spans="2:13" x14ac:dyDescent="0.3">
      <c r="B23" s="25" t="s">
        <v>195</v>
      </c>
      <c r="C23" s="9" t="s">
        <v>196</v>
      </c>
      <c r="D23" s="9" t="s">
        <v>197</v>
      </c>
      <c r="E23" s="9" t="s">
        <v>198</v>
      </c>
      <c r="F23" s="9" t="s">
        <v>199</v>
      </c>
      <c r="G23" s="9" t="s">
        <v>200</v>
      </c>
      <c r="H23" s="9" t="s">
        <v>201</v>
      </c>
      <c r="I23" s="9" t="s">
        <v>202</v>
      </c>
      <c r="J23" s="9" t="s">
        <v>178</v>
      </c>
      <c r="K23" s="9" t="s">
        <v>203</v>
      </c>
      <c r="L23" s="9" t="s">
        <v>204</v>
      </c>
      <c r="M23" s="10" t="s">
        <v>205</v>
      </c>
    </row>
    <row r="25" spans="2:13" x14ac:dyDescent="0.3">
      <c r="B25" s="5" t="s">
        <v>206</v>
      </c>
    </row>
    <row r="27" spans="2:13" s="5" customFormat="1" x14ac:dyDescent="0.3">
      <c r="B27" s="11" t="s">
        <v>12</v>
      </c>
      <c r="C27" s="12" t="s">
        <v>92</v>
      </c>
      <c r="D27" s="12" t="s">
        <v>1</v>
      </c>
      <c r="E27" s="12" t="s">
        <v>2</v>
      </c>
      <c r="F27" s="12" t="s">
        <v>3</v>
      </c>
      <c r="G27" s="12" t="s">
        <v>4</v>
      </c>
      <c r="H27" s="12" t="s">
        <v>0</v>
      </c>
      <c r="I27" s="12" t="s">
        <v>56</v>
      </c>
      <c r="J27" s="12" t="s">
        <v>57</v>
      </c>
      <c r="K27" s="12" t="s">
        <v>58</v>
      </c>
      <c r="L27" s="12" t="s">
        <v>59</v>
      </c>
      <c r="M27" s="13" t="s">
        <v>60</v>
      </c>
    </row>
    <row r="28" spans="2:13" x14ac:dyDescent="0.3">
      <c r="B28" s="20" t="s">
        <v>162</v>
      </c>
      <c r="C28" s="21" t="s">
        <v>207</v>
      </c>
      <c r="D28" s="21" t="s">
        <v>208</v>
      </c>
      <c r="E28" s="21" t="s">
        <v>209</v>
      </c>
      <c r="F28" s="21" t="s">
        <v>210</v>
      </c>
      <c r="G28" s="21" t="s">
        <v>211</v>
      </c>
      <c r="H28" s="21" t="s">
        <v>212</v>
      </c>
      <c r="I28" s="21" t="s">
        <v>213</v>
      </c>
      <c r="J28" s="21" t="s">
        <v>214</v>
      </c>
      <c r="K28" s="21" t="s">
        <v>215</v>
      </c>
      <c r="L28" s="21" t="s">
        <v>216</v>
      </c>
      <c r="M28" s="22" t="s">
        <v>217</v>
      </c>
    </row>
    <row r="29" spans="2:13" x14ac:dyDescent="0.3">
      <c r="B29" s="23" t="s">
        <v>218</v>
      </c>
      <c r="C29" s="2" t="s">
        <v>219</v>
      </c>
      <c r="D29" s="2" t="s">
        <v>220</v>
      </c>
      <c r="E29" s="2" t="s">
        <v>221</v>
      </c>
      <c r="F29" s="2" t="s">
        <v>222</v>
      </c>
      <c r="G29" s="2" t="s">
        <v>223</v>
      </c>
      <c r="H29" s="2" t="s">
        <v>224</v>
      </c>
      <c r="I29" s="2" t="s">
        <v>225</v>
      </c>
      <c r="J29" s="2" t="s">
        <v>226</v>
      </c>
      <c r="K29" s="2" t="s">
        <v>227</v>
      </c>
      <c r="L29" s="2" t="s">
        <v>228</v>
      </c>
      <c r="M29" s="8" t="s">
        <v>229</v>
      </c>
    </row>
    <row r="30" spans="2:13" x14ac:dyDescent="0.3">
      <c r="B30" s="23" t="s">
        <v>230</v>
      </c>
      <c r="C30" s="2">
        <v>11</v>
      </c>
      <c r="D30" s="2">
        <v>11</v>
      </c>
      <c r="E30" s="2">
        <v>12</v>
      </c>
      <c r="F30" s="2">
        <v>11</v>
      </c>
      <c r="G30" s="2">
        <v>12</v>
      </c>
      <c r="H30" s="2">
        <v>12</v>
      </c>
      <c r="I30" s="2">
        <v>12</v>
      </c>
      <c r="J30" s="2">
        <v>12</v>
      </c>
      <c r="K30" s="2">
        <v>12</v>
      </c>
      <c r="L30" s="2">
        <v>12</v>
      </c>
      <c r="M30" s="8">
        <v>12</v>
      </c>
    </row>
    <row r="31" spans="2:13" x14ac:dyDescent="0.3">
      <c r="B31" s="23" t="s">
        <v>231</v>
      </c>
      <c r="C31" s="2">
        <v>144</v>
      </c>
      <c r="D31" s="2">
        <v>133</v>
      </c>
      <c r="E31" s="2">
        <v>121</v>
      </c>
      <c r="F31" s="2">
        <v>109</v>
      </c>
      <c r="G31" s="2">
        <v>113</v>
      </c>
      <c r="H31" s="2">
        <v>115</v>
      </c>
      <c r="I31" s="2">
        <v>116</v>
      </c>
      <c r="J31" s="2">
        <v>116</v>
      </c>
      <c r="K31" s="2">
        <v>116</v>
      </c>
      <c r="L31" s="2">
        <v>117</v>
      </c>
      <c r="M31" s="8">
        <v>117</v>
      </c>
    </row>
    <row r="32" spans="2:13" x14ac:dyDescent="0.3">
      <c r="B32" s="25" t="s">
        <v>232</v>
      </c>
      <c r="C32" s="9">
        <v>-17</v>
      </c>
      <c r="D32" s="9">
        <v>-14</v>
      </c>
      <c r="E32" s="9">
        <v>-11</v>
      </c>
      <c r="F32" s="9">
        <v>-8</v>
      </c>
      <c r="G32" s="9">
        <v>-9</v>
      </c>
      <c r="H32" s="9">
        <v>-10</v>
      </c>
      <c r="I32" s="9">
        <v>-10</v>
      </c>
      <c r="J32" s="9">
        <v>-11</v>
      </c>
      <c r="K32" s="9">
        <v>-11</v>
      </c>
      <c r="L32" s="9">
        <v>-11</v>
      </c>
      <c r="M32" s="10">
        <v>-11</v>
      </c>
    </row>
    <row r="34" spans="2:13" x14ac:dyDescent="0.3">
      <c r="B34" s="5" t="s">
        <v>233</v>
      </c>
    </row>
    <row r="36" spans="2:13" s="5" customFormat="1" x14ac:dyDescent="0.3">
      <c r="B36" s="11" t="s">
        <v>12</v>
      </c>
      <c r="C36" s="12" t="s">
        <v>92</v>
      </c>
      <c r="D36" s="12" t="s">
        <v>1</v>
      </c>
      <c r="E36" s="12" t="s">
        <v>2</v>
      </c>
      <c r="F36" s="12" t="s">
        <v>3</v>
      </c>
      <c r="G36" s="12" t="s">
        <v>4</v>
      </c>
      <c r="H36" s="12" t="s">
        <v>0</v>
      </c>
      <c r="I36" s="12" t="s">
        <v>56</v>
      </c>
      <c r="J36" s="12" t="s">
        <v>57</v>
      </c>
      <c r="K36" s="12" t="s">
        <v>58</v>
      </c>
      <c r="L36" s="12" t="s">
        <v>59</v>
      </c>
      <c r="M36" s="13" t="s">
        <v>60</v>
      </c>
    </row>
    <row r="37" spans="2:13" x14ac:dyDescent="0.3">
      <c r="B37" s="20" t="s">
        <v>234</v>
      </c>
      <c r="C37" s="21" t="s">
        <v>235</v>
      </c>
      <c r="D37" s="21" t="s">
        <v>235</v>
      </c>
      <c r="E37" s="21" t="s">
        <v>236</v>
      </c>
      <c r="F37" s="21" t="s">
        <v>237</v>
      </c>
      <c r="G37" s="21" t="s">
        <v>238</v>
      </c>
      <c r="H37" s="21" t="s">
        <v>239</v>
      </c>
      <c r="I37" s="21" t="s">
        <v>240</v>
      </c>
      <c r="J37" s="21" t="s">
        <v>241</v>
      </c>
      <c r="K37" s="21" t="s">
        <v>242</v>
      </c>
      <c r="L37" s="21" t="s">
        <v>243</v>
      </c>
      <c r="M37" s="22" t="s">
        <v>244</v>
      </c>
    </row>
    <row r="38" spans="2:13" x14ac:dyDescent="0.3">
      <c r="B38" s="23" t="s">
        <v>245</v>
      </c>
      <c r="C38" s="2" t="s">
        <v>243</v>
      </c>
      <c r="D38" s="2" t="s">
        <v>243</v>
      </c>
      <c r="E38" s="2" t="s">
        <v>243</v>
      </c>
      <c r="F38" s="2" t="s">
        <v>243</v>
      </c>
      <c r="G38" s="2" t="s">
        <v>244</v>
      </c>
      <c r="H38" s="2" t="s">
        <v>244</v>
      </c>
      <c r="I38" s="2" t="s">
        <v>246</v>
      </c>
      <c r="J38" s="2" t="s">
        <v>247</v>
      </c>
      <c r="K38" s="2" t="s">
        <v>247</v>
      </c>
      <c r="L38" s="2" t="s">
        <v>248</v>
      </c>
      <c r="M38" s="8" t="s">
        <v>248</v>
      </c>
    </row>
    <row r="39" spans="2:13" x14ac:dyDescent="0.3">
      <c r="B39" s="25" t="s">
        <v>249</v>
      </c>
      <c r="C39" s="9" t="s">
        <v>250</v>
      </c>
      <c r="D39" s="9" t="s">
        <v>251</v>
      </c>
      <c r="E39" s="9" t="s">
        <v>252</v>
      </c>
      <c r="F39" s="9" t="s">
        <v>253</v>
      </c>
      <c r="G39" s="9" t="s">
        <v>254</v>
      </c>
      <c r="H39" s="9" t="s">
        <v>255</v>
      </c>
      <c r="I39" s="9" t="s">
        <v>256</v>
      </c>
      <c r="J39" s="9" t="s">
        <v>257</v>
      </c>
      <c r="K39" s="9" t="s">
        <v>258</v>
      </c>
      <c r="L39" s="9" t="s">
        <v>259</v>
      </c>
      <c r="M39" s="10" t="s">
        <v>260</v>
      </c>
    </row>
    <row r="41" spans="2:13" x14ac:dyDescent="0.3">
      <c r="B41" s="5" t="s">
        <v>261</v>
      </c>
    </row>
    <row r="43" spans="2:13" s="5" customFormat="1" x14ac:dyDescent="0.3">
      <c r="B43" s="11" t="s">
        <v>12</v>
      </c>
      <c r="C43" s="12" t="s">
        <v>56</v>
      </c>
      <c r="D43" s="12" t="s">
        <v>57</v>
      </c>
      <c r="E43" s="12" t="s">
        <v>58</v>
      </c>
      <c r="F43" s="12" t="s">
        <v>59</v>
      </c>
      <c r="G43" s="13" t="s">
        <v>60</v>
      </c>
    </row>
    <row r="44" spans="2:13" x14ac:dyDescent="0.3">
      <c r="B44" s="20" t="s">
        <v>262</v>
      </c>
      <c r="C44" s="21" t="s">
        <v>263</v>
      </c>
      <c r="D44" s="21" t="s">
        <v>264</v>
      </c>
      <c r="E44" s="21" t="s">
        <v>265</v>
      </c>
      <c r="F44" s="21" t="s">
        <v>266</v>
      </c>
      <c r="G44" s="22" t="s">
        <v>267</v>
      </c>
    </row>
    <row r="45" spans="2:13" x14ac:dyDescent="0.3">
      <c r="B45" s="23" t="s">
        <v>268</v>
      </c>
      <c r="C45" s="2" t="s">
        <v>269</v>
      </c>
      <c r="D45" s="2" t="s">
        <v>270</v>
      </c>
      <c r="E45" s="2" t="s">
        <v>271</v>
      </c>
      <c r="F45" s="2" t="s">
        <v>272</v>
      </c>
      <c r="G45" s="8" t="s">
        <v>266</v>
      </c>
    </row>
    <row r="46" spans="2:13" x14ac:dyDescent="0.3">
      <c r="B46" s="23" t="s">
        <v>273</v>
      </c>
      <c r="C46" s="2" t="s">
        <v>274</v>
      </c>
      <c r="D46" s="2" t="s">
        <v>275</v>
      </c>
      <c r="E46" s="2" t="s">
        <v>276</v>
      </c>
      <c r="F46" s="2" t="s">
        <v>277</v>
      </c>
      <c r="G46" s="8" t="s">
        <v>278</v>
      </c>
    </row>
    <row r="47" spans="2:13" x14ac:dyDescent="0.3">
      <c r="B47" s="25" t="s">
        <v>279</v>
      </c>
      <c r="C47" s="9" t="s">
        <v>280</v>
      </c>
      <c r="D47" s="9" t="s">
        <v>281</v>
      </c>
      <c r="E47" s="9" t="s">
        <v>282</v>
      </c>
      <c r="F47" s="9" t="s">
        <v>283</v>
      </c>
      <c r="G47" s="10" t="s">
        <v>284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39E8D-0A54-4355-ADEA-4620FEE8ADA9}">
  <dimension ref="B2:H78"/>
  <sheetViews>
    <sheetView workbookViewId="0">
      <selection activeCell="I70" sqref="I70"/>
    </sheetView>
  </sheetViews>
  <sheetFormatPr defaultRowHeight="14.4" x14ac:dyDescent="0.3"/>
  <cols>
    <col min="1" max="1" width="8.88671875" style="2"/>
    <col min="2" max="2" width="25.109375" style="2" bestFit="1" customWidth="1"/>
    <col min="3" max="16384" width="8.88671875" style="2"/>
  </cols>
  <sheetData>
    <row r="2" spans="2:7" x14ac:dyDescent="0.3">
      <c r="B2" s="11" t="s">
        <v>55</v>
      </c>
      <c r="C2" s="13" t="s">
        <v>115</v>
      </c>
    </row>
    <row r="3" spans="2:7" x14ac:dyDescent="0.3">
      <c r="B3" s="20" t="s">
        <v>116</v>
      </c>
      <c r="C3" s="31">
        <v>7.0000000000000007E-2</v>
      </c>
    </row>
    <row r="4" spans="2:7" x14ac:dyDescent="0.3">
      <c r="B4" s="23" t="s">
        <v>117</v>
      </c>
      <c r="C4" s="32">
        <v>0.06</v>
      </c>
    </row>
    <row r="5" spans="2:7" x14ac:dyDescent="0.3">
      <c r="B5" s="23" t="s">
        <v>82</v>
      </c>
      <c r="C5" s="8">
        <v>0.7</v>
      </c>
    </row>
    <row r="6" spans="2:7" x14ac:dyDescent="0.3">
      <c r="B6" s="23" t="s">
        <v>118</v>
      </c>
      <c r="C6" s="32">
        <v>0.112</v>
      </c>
      <c r="E6" s="2" t="s">
        <v>124</v>
      </c>
      <c r="G6" s="2" t="s">
        <v>125</v>
      </c>
    </row>
    <row r="7" spans="2:7" x14ac:dyDescent="0.3">
      <c r="B7" s="23" t="s">
        <v>119</v>
      </c>
      <c r="C7" s="32">
        <v>6.5000000000000002E-2</v>
      </c>
    </row>
    <row r="8" spans="2:7" x14ac:dyDescent="0.3">
      <c r="B8" s="23" t="s">
        <v>120</v>
      </c>
      <c r="C8" s="37">
        <v>0.15</v>
      </c>
    </row>
    <row r="9" spans="2:7" x14ac:dyDescent="0.3">
      <c r="B9" s="23" t="s">
        <v>121</v>
      </c>
      <c r="C9" s="37">
        <v>0.85</v>
      </c>
    </row>
    <row r="10" spans="2:7" x14ac:dyDescent="0.3">
      <c r="B10" s="25" t="s">
        <v>122</v>
      </c>
      <c r="C10" s="38">
        <v>0.105</v>
      </c>
    </row>
    <row r="11" spans="2:7" x14ac:dyDescent="0.3">
      <c r="B11" s="2" t="s">
        <v>123</v>
      </c>
      <c r="C11" s="4">
        <v>4.4999999999999998E-2</v>
      </c>
    </row>
    <row r="13" spans="2:7" x14ac:dyDescent="0.3">
      <c r="B13" s="5" t="s">
        <v>126</v>
      </c>
    </row>
    <row r="15" spans="2:7" s="5" customFormat="1" x14ac:dyDescent="0.3">
      <c r="B15" s="11" t="s">
        <v>12</v>
      </c>
      <c r="C15" s="12" t="s">
        <v>56</v>
      </c>
      <c r="D15" s="12" t="s">
        <v>57</v>
      </c>
      <c r="E15" s="12" t="s">
        <v>58</v>
      </c>
      <c r="F15" s="12" t="s">
        <v>59</v>
      </c>
      <c r="G15" s="13" t="s">
        <v>60</v>
      </c>
    </row>
    <row r="16" spans="2:7" x14ac:dyDescent="0.3">
      <c r="B16" s="20" t="s">
        <v>7</v>
      </c>
      <c r="C16" s="35">
        <v>15481</v>
      </c>
      <c r="D16" s="35">
        <v>17249</v>
      </c>
      <c r="E16" s="35">
        <v>19040</v>
      </c>
      <c r="F16" s="35">
        <v>20828</v>
      </c>
      <c r="G16" s="33">
        <v>22588</v>
      </c>
    </row>
    <row r="17" spans="2:8" x14ac:dyDescent="0.3">
      <c r="B17" s="23" t="s">
        <v>127</v>
      </c>
      <c r="C17" s="3">
        <v>-3948</v>
      </c>
      <c r="D17" s="3">
        <v>-4399</v>
      </c>
      <c r="E17" s="3">
        <v>-4855</v>
      </c>
      <c r="F17" s="3">
        <v>-5311</v>
      </c>
      <c r="G17" s="24">
        <v>-5760</v>
      </c>
    </row>
    <row r="18" spans="2:8" x14ac:dyDescent="0.3">
      <c r="B18" s="23" t="s">
        <v>128</v>
      </c>
      <c r="C18" s="3">
        <v>11533</v>
      </c>
      <c r="D18" s="3">
        <v>12850</v>
      </c>
      <c r="E18" s="3">
        <v>14185</v>
      </c>
      <c r="F18" s="3">
        <v>15517</v>
      </c>
      <c r="G18" s="24">
        <v>16828</v>
      </c>
    </row>
    <row r="19" spans="2:8" x14ac:dyDescent="0.3">
      <c r="B19" s="23" t="s">
        <v>48</v>
      </c>
      <c r="C19" s="3">
        <v>1376</v>
      </c>
      <c r="D19" s="3">
        <v>1500</v>
      </c>
      <c r="E19" s="3">
        <v>1709</v>
      </c>
      <c r="F19" s="3">
        <v>1845</v>
      </c>
      <c r="G19" s="24">
        <v>2088</v>
      </c>
    </row>
    <row r="20" spans="2:8" x14ac:dyDescent="0.3">
      <c r="B20" s="23" t="s">
        <v>98</v>
      </c>
      <c r="C20" s="3">
        <v>-2064</v>
      </c>
      <c r="D20" s="3">
        <v>-2250</v>
      </c>
      <c r="E20" s="3">
        <v>-2604</v>
      </c>
      <c r="F20" s="3">
        <v>-2812</v>
      </c>
      <c r="G20" s="24">
        <v>-3132</v>
      </c>
    </row>
    <row r="21" spans="2:8" x14ac:dyDescent="0.3">
      <c r="B21" s="23" t="s">
        <v>129</v>
      </c>
      <c r="C21" s="2">
        <v>-500</v>
      </c>
      <c r="D21" s="2">
        <v>-400</v>
      </c>
      <c r="E21" s="2">
        <v>-500</v>
      </c>
      <c r="F21" s="2">
        <v>-400</v>
      </c>
      <c r="G21" s="8">
        <v>-500</v>
      </c>
    </row>
    <row r="22" spans="2:8" x14ac:dyDescent="0.3">
      <c r="B22" s="25" t="s">
        <v>130</v>
      </c>
      <c r="C22" s="36">
        <v>10345</v>
      </c>
      <c r="D22" s="36">
        <v>11700</v>
      </c>
      <c r="E22" s="36">
        <v>12790</v>
      </c>
      <c r="F22" s="36">
        <v>14150</v>
      </c>
      <c r="G22" s="34">
        <v>15284</v>
      </c>
    </row>
    <row r="24" spans="2:8" x14ac:dyDescent="0.3">
      <c r="B24" s="5" t="s">
        <v>131</v>
      </c>
    </row>
    <row r="26" spans="2:8" s="5" customFormat="1" x14ac:dyDescent="0.3">
      <c r="B26" s="11" t="s">
        <v>132</v>
      </c>
      <c r="C26" s="12" t="s">
        <v>130</v>
      </c>
      <c r="D26" s="12" t="s">
        <v>133</v>
      </c>
      <c r="E26" s="13" t="s">
        <v>134</v>
      </c>
      <c r="H26" s="5" t="s">
        <v>137</v>
      </c>
    </row>
    <row r="27" spans="2:8" x14ac:dyDescent="0.3">
      <c r="B27" s="20" t="s">
        <v>56</v>
      </c>
      <c r="C27" s="35">
        <v>10345</v>
      </c>
      <c r="D27" s="21">
        <v>0.90500000000000003</v>
      </c>
      <c r="E27" s="33">
        <v>9362</v>
      </c>
    </row>
    <row r="28" spans="2:8" x14ac:dyDescent="0.3">
      <c r="B28" s="23" t="s">
        <v>57</v>
      </c>
      <c r="C28" s="3">
        <v>11700</v>
      </c>
      <c r="D28" s="2">
        <v>0.81899999999999995</v>
      </c>
      <c r="E28" s="24">
        <v>9582</v>
      </c>
    </row>
    <row r="29" spans="2:8" x14ac:dyDescent="0.3">
      <c r="B29" s="23" t="s">
        <v>58</v>
      </c>
      <c r="C29" s="3">
        <v>12790</v>
      </c>
      <c r="D29" s="2">
        <v>0.74099999999999999</v>
      </c>
      <c r="E29" s="24">
        <v>9478</v>
      </c>
    </row>
    <row r="30" spans="2:8" x14ac:dyDescent="0.3">
      <c r="B30" s="23" t="s">
        <v>59</v>
      </c>
      <c r="C30" s="3">
        <v>14150</v>
      </c>
      <c r="D30" s="2">
        <v>0.67</v>
      </c>
      <c r="E30" s="24">
        <v>9481</v>
      </c>
    </row>
    <row r="31" spans="2:8" x14ac:dyDescent="0.3">
      <c r="B31" s="25" t="s">
        <v>60</v>
      </c>
      <c r="C31" s="36">
        <v>15284</v>
      </c>
      <c r="D31" s="9">
        <v>0.60699999999999998</v>
      </c>
      <c r="E31" s="34">
        <v>9277</v>
      </c>
    </row>
    <row r="32" spans="2:8" x14ac:dyDescent="0.3">
      <c r="E32" s="2" t="s">
        <v>135</v>
      </c>
    </row>
    <row r="33" spans="2:5" x14ac:dyDescent="0.3">
      <c r="B33" s="2" t="s">
        <v>136</v>
      </c>
      <c r="E33" s="3">
        <v>47180</v>
      </c>
    </row>
    <row r="35" spans="2:5" x14ac:dyDescent="0.3">
      <c r="B35" s="5" t="s">
        <v>138</v>
      </c>
    </row>
    <row r="36" spans="2:5" x14ac:dyDescent="0.3">
      <c r="B36" s="5"/>
    </row>
    <row r="37" spans="2:5" x14ac:dyDescent="0.3">
      <c r="B37" s="2" t="s">
        <v>139</v>
      </c>
      <c r="C37" s="2" t="s">
        <v>140</v>
      </c>
    </row>
    <row r="38" spans="2:5" x14ac:dyDescent="0.3">
      <c r="C38" s="2">
        <f>15972</f>
        <v>15972</v>
      </c>
    </row>
    <row r="39" spans="2:5" x14ac:dyDescent="0.3">
      <c r="B39" s="2" t="s">
        <v>138</v>
      </c>
      <c r="C39" s="2" t="s">
        <v>141</v>
      </c>
    </row>
    <row r="40" spans="2:5" x14ac:dyDescent="0.3">
      <c r="C40" s="3">
        <v>266193</v>
      </c>
    </row>
    <row r="42" spans="2:5" x14ac:dyDescent="0.3">
      <c r="B42" s="5" t="s">
        <v>142</v>
      </c>
    </row>
    <row r="44" spans="2:5" s="5" customFormat="1" x14ac:dyDescent="0.3">
      <c r="B44" s="11" t="s">
        <v>12</v>
      </c>
      <c r="C44" s="13" t="s">
        <v>135</v>
      </c>
    </row>
    <row r="45" spans="2:5" x14ac:dyDescent="0.3">
      <c r="B45" s="20" t="s">
        <v>138</v>
      </c>
      <c r="C45" s="33">
        <v>266193</v>
      </c>
    </row>
    <row r="46" spans="2:5" x14ac:dyDescent="0.3">
      <c r="B46" s="23" t="s">
        <v>143</v>
      </c>
      <c r="C46" s="8">
        <v>0.60699999999999998</v>
      </c>
    </row>
    <row r="47" spans="2:5" x14ac:dyDescent="0.3">
      <c r="B47" s="25" t="s">
        <v>144</v>
      </c>
      <c r="C47" s="34">
        <v>161578</v>
      </c>
    </row>
    <row r="49" spans="2:3" x14ac:dyDescent="0.3">
      <c r="B49" s="5" t="s">
        <v>145</v>
      </c>
    </row>
    <row r="51" spans="2:3" s="5" customFormat="1" x14ac:dyDescent="0.3">
      <c r="B51" s="11" t="s">
        <v>12</v>
      </c>
      <c r="C51" s="13" t="s">
        <v>135</v>
      </c>
    </row>
    <row r="52" spans="2:3" x14ac:dyDescent="0.3">
      <c r="B52" s="20" t="s">
        <v>146</v>
      </c>
      <c r="C52" s="33">
        <v>47180</v>
      </c>
    </row>
    <row r="53" spans="2:3" x14ac:dyDescent="0.3">
      <c r="B53" s="23" t="s">
        <v>144</v>
      </c>
      <c r="C53" s="24">
        <v>161578</v>
      </c>
    </row>
    <row r="54" spans="2:3" x14ac:dyDescent="0.3">
      <c r="B54" s="25" t="s">
        <v>145</v>
      </c>
      <c r="C54" s="34">
        <v>208758</v>
      </c>
    </row>
    <row r="56" spans="2:3" x14ac:dyDescent="0.3">
      <c r="B56" s="5" t="s">
        <v>147</v>
      </c>
    </row>
    <row r="58" spans="2:3" s="5" customFormat="1" x14ac:dyDescent="0.3">
      <c r="B58" s="11" t="s">
        <v>12</v>
      </c>
      <c r="C58" s="13" t="s">
        <v>135</v>
      </c>
    </row>
    <row r="59" spans="2:3" x14ac:dyDescent="0.3">
      <c r="B59" s="20" t="s">
        <v>145</v>
      </c>
      <c r="C59" s="33">
        <v>208758</v>
      </c>
    </row>
    <row r="60" spans="2:3" x14ac:dyDescent="0.3">
      <c r="B60" s="23" t="s">
        <v>148</v>
      </c>
      <c r="C60" s="24">
        <v>17394</v>
      </c>
    </row>
    <row r="61" spans="2:3" x14ac:dyDescent="0.3">
      <c r="B61" s="23" t="s">
        <v>149</v>
      </c>
      <c r="C61" s="24">
        <v>3400</v>
      </c>
    </row>
    <row r="62" spans="2:3" x14ac:dyDescent="0.3">
      <c r="B62" s="25" t="s">
        <v>147</v>
      </c>
      <c r="C62" s="34">
        <v>222752</v>
      </c>
    </row>
    <row r="64" spans="2:3" x14ac:dyDescent="0.3">
      <c r="B64" s="5" t="s">
        <v>150</v>
      </c>
    </row>
    <row r="66" spans="2:3" s="5" customFormat="1" x14ac:dyDescent="0.3">
      <c r="B66" s="11" t="s">
        <v>12</v>
      </c>
      <c r="C66" s="13" t="s">
        <v>115</v>
      </c>
    </row>
    <row r="67" spans="2:3" x14ac:dyDescent="0.3">
      <c r="B67" s="20" t="s">
        <v>147</v>
      </c>
      <c r="C67" s="22" t="s">
        <v>151</v>
      </c>
    </row>
    <row r="68" spans="2:3" x14ac:dyDescent="0.3">
      <c r="B68" s="23" t="s">
        <v>152</v>
      </c>
      <c r="C68" s="8" t="s">
        <v>153</v>
      </c>
    </row>
    <row r="69" spans="2:3" x14ac:dyDescent="0.3">
      <c r="B69" s="25" t="s">
        <v>154</v>
      </c>
      <c r="C69" s="10" t="s">
        <v>155</v>
      </c>
    </row>
    <row r="71" spans="2:3" x14ac:dyDescent="0.3">
      <c r="B71" s="5" t="s">
        <v>156</v>
      </c>
    </row>
    <row r="73" spans="2:3" s="5" customFormat="1" x14ac:dyDescent="0.3">
      <c r="B73" s="11" t="s">
        <v>157</v>
      </c>
      <c r="C73" s="13" t="s">
        <v>115</v>
      </c>
    </row>
    <row r="74" spans="2:3" x14ac:dyDescent="0.3">
      <c r="B74" s="20" t="s">
        <v>122</v>
      </c>
      <c r="C74" s="31">
        <v>0.105</v>
      </c>
    </row>
    <row r="75" spans="2:3" x14ac:dyDescent="0.3">
      <c r="B75" s="23" t="s">
        <v>158</v>
      </c>
      <c r="C75" s="32">
        <v>4.4999999999999998E-2</v>
      </c>
    </row>
    <row r="76" spans="2:3" x14ac:dyDescent="0.3">
      <c r="B76" s="23" t="s">
        <v>145</v>
      </c>
      <c r="C76" s="8" t="s">
        <v>159</v>
      </c>
    </row>
    <row r="77" spans="2:3" x14ac:dyDescent="0.3">
      <c r="B77" s="23" t="s">
        <v>147</v>
      </c>
      <c r="C77" s="8" t="s">
        <v>160</v>
      </c>
    </row>
    <row r="78" spans="2:3" x14ac:dyDescent="0.3">
      <c r="B78" s="25" t="s">
        <v>150</v>
      </c>
      <c r="C78" s="10" t="s">
        <v>161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7B1E-6DEC-4DF3-8CBC-3281ACFA62F9}">
  <dimension ref="B2:P58"/>
  <sheetViews>
    <sheetView workbookViewId="0">
      <selection activeCell="O13" sqref="O13"/>
    </sheetView>
  </sheetViews>
  <sheetFormatPr defaultRowHeight="14.4" x14ac:dyDescent="0.3"/>
  <cols>
    <col min="1" max="1" width="8.88671875" style="2"/>
    <col min="2" max="2" width="23.21875" style="2" bestFit="1" customWidth="1"/>
    <col min="3" max="16384" width="8.88671875" style="2"/>
  </cols>
  <sheetData>
    <row r="2" spans="2:16" x14ac:dyDescent="0.3">
      <c r="B2" s="5" t="s">
        <v>87</v>
      </c>
    </row>
    <row r="4" spans="2:16" x14ac:dyDescent="0.3">
      <c r="B4" s="11" t="s">
        <v>12</v>
      </c>
      <c r="C4" s="12" t="s">
        <v>92</v>
      </c>
      <c r="D4" s="12" t="s">
        <v>1</v>
      </c>
      <c r="E4" s="12" t="s">
        <v>2</v>
      </c>
      <c r="F4" s="12" t="s">
        <v>3</v>
      </c>
      <c r="G4" s="12" t="s">
        <v>4</v>
      </c>
      <c r="H4" s="12" t="s">
        <v>0</v>
      </c>
      <c r="I4" s="12" t="s">
        <v>56</v>
      </c>
      <c r="J4" s="12" t="s">
        <v>57</v>
      </c>
      <c r="K4" s="12" t="s">
        <v>58</v>
      </c>
      <c r="L4" s="12" t="s">
        <v>59</v>
      </c>
      <c r="M4" s="13" t="s">
        <v>60</v>
      </c>
      <c r="P4" s="2" t="s">
        <v>109</v>
      </c>
    </row>
    <row r="5" spans="2:16" x14ac:dyDescent="0.3">
      <c r="B5" s="23" t="s">
        <v>6</v>
      </c>
      <c r="C5" s="3">
        <v>38273</v>
      </c>
      <c r="D5" s="3">
        <v>45311</v>
      </c>
      <c r="E5" s="3">
        <v>50336</v>
      </c>
      <c r="F5" s="3">
        <v>58154</v>
      </c>
      <c r="G5" s="3">
        <v>59579</v>
      </c>
      <c r="H5" s="3">
        <v>63121</v>
      </c>
      <c r="I5" s="3">
        <v>68802</v>
      </c>
      <c r="J5" s="3">
        <v>74994</v>
      </c>
      <c r="K5" s="3">
        <v>81368</v>
      </c>
      <c r="L5" s="3">
        <v>87878</v>
      </c>
      <c r="M5" s="24">
        <v>94908</v>
      </c>
      <c r="P5" s="2" t="s">
        <v>110</v>
      </c>
    </row>
    <row r="6" spans="2:16" x14ac:dyDescent="0.3">
      <c r="B6" s="23" t="s">
        <v>93</v>
      </c>
      <c r="D6" s="4">
        <v>0.184</v>
      </c>
      <c r="E6" s="4">
        <v>0.111</v>
      </c>
      <c r="F6" s="4">
        <v>0.155</v>
      </c>
      <c r="G6" s="4">
        <v>2.5000000000000001E-2</v>
      </c>
      <c r="H6" s="4">
        <v>5.8999999999999997E-2</v>
      </c>
      <c r="I6" s="4">
        <v>0.09</v>
      </c>
      <c r="J6" s="4">
        <v>0.09</v>
      </c>
      <c r="K6" s="4">
        <v>8.5000000000000006E-2</v>
      </c>
      <c r="L6" s="4">
        <v>0.08</v>
      </c>
      <c r="M6" s="32">
        <v>0.08</v>
      </c>
      <c r="P6" s="2" t="s">
        <v>111</v>
      </c>
    </row>
    <row r="7" spans="2:16" x14ac:dyDescent="0.3">
      <c r="B7" s="23" t="s">
        <v>94</v>
      </c>
      <c r="C7" s="4">
        <v>0.21199999999999999</v>
      </c>
      <c r="D7" s="4">
        <v>0.19</v>
      </c>
      <c r="E7" s="4">
        <v>0.18</v>
      </c>
      <c r="F7" s="4">
        <v>0.16900000000000001</v>
      </c>
      <c r="G7" s="4">
        <v>0.184</v>
      </c>
      <c r="H7" s="4">
        <v>0.23499999999999999</v>
      </c>
      <c r="I7" s="4">
        <v>0.245</v>
      </c>
      <c r="J7" s="4">
        <v>0.25</v>
      </c>
      <c r="K7" s="4">
        <v>0.255</v>
      </c>
      <c r="L7" s="4">
        <v>0.25800000000000001</v>
      </c>
      <c r="M7" s="32">
        <v>0.26</v>
      </c>
      <c r="P7" s="2" t="s">
        <v>112</v>
      </c>
    </row>
    <row r="8" spans="2:16" x14ac:dyDescent="0.3">
      <c r="B8" s="23" t="s">
        <v>21</v>
      </c>
      <c r="C8" s="3">
        <v>8097</v>
      </c>
      <c r="D8" s="3">
        <v>8608</v>
      </c>
      <c r="E8" s="3">
        <v>9041</v>
      </c>
      <c r="F8" s="3">
        <v>9834</v>
      </c>
      <c r="G8" s="3">
        <v>10979</v>
      </c>
      <c r="H8" s="3">
        <v>14834</v>
      </c>
      <c r="I8" s="3">
        <v>16857</v>
      </c>
      <c r="J8" s="3">
        <v>18749</v>
      </c>
      <c r="K8" s="3">
        <v>20749</v>
      </c>
      <c r="L8" s="3">
        <v>22673</v>
      </c>
      <c r="M8" s="24">
        <v>24676</v>
      </c>
      <c r="P8" s="2" t="s">
        <v>113</v>
      </c>
    </row>
    <row r="9" spans="2:16" x14ac:dyDescent="0.3">
      <c r="B9" s="23" t="s">
        <v>48</v>
      </c>
      <c r="C9" s="2">
        <v>800</v>
      </c>
      <c r="D9" s="2">
        <v>900</v>
      </c>
      <c r="E9" s="3">
        <v>1000</v>
      </c>
      <c r="F9" s="3">
        <v>1100</v>
      </c>
      <c r="G9" s="3">
        <v>1200</v>
      </c>
      <c r="H9" s="3">
        <v>1262</v>
      </c>
      <c r="I9" s="3">
        <v>1376</v>
      </c>
      <c r="J9" s="3">
        <v>1500</v>
      </c>
      <c r="K9" s="3">
        <v>1709</v>
      </c>
      <c r="L9" s="3">
        <v>1845</v>
      </c>
      <c r="M9" s="24">
        <v>2088</v>
      </c>
      <c r="P9" s="2" t="s">
        <v>114</v>
      </c>
    </row>
    <row r="10" spans="2:16" x14ac:dyDescent="0.3">
      <c r="B10" s="23" t="s">
        <v>7</v>
      </c>
      <c r="C10" s="3">
        <v>7297</v>
      </c>
      <c r="D10" s="3">
        <v>7708</v>
      </c>
      <c r="E10" s="3">
        <v>8041</v>
      </c>
      <c r="F10" s="3">
        <v>8734</v>
      </c>
      <c r="G10" s="3">
        <v>9779</v>
      </c>
      <c r="H10" s="3">
        <v>13572</v>
      </c>
      <c r="I10" s="3">
        <v>15481</v>
      </c>
      <c r="J10" s="3">
        <v>17249</v>
      </c>
      <c r="K10" s="3">
        <v>19040</v>
      </c>
      <c r="L10" s="3">
        <v>20828</v>
      </c>
      <c r="M10" s="24">
        <v>22588</v>
      </c>
    </row>
    <row r="11" spans="2:16" x14ac:dyDescent="0.3">
      <c r="B11" s="23" t="s">
        <v>23</v>
      </c>
      <c r="C11" s="2">
        <v>150</v>
      </c>
      <c r="D11" s="2">
        <v>120</v>
      </c>
      <c r="E11" s="2">
        <v>110</v>
      </c>
      <c r="F11" s="2">
        <v>100</v>
      </c>
      <c r="G11" s="2">
        <v>95</v>
      </c>
      <c r="H11" s="2">
        <v>90</v>
      </c>
      <c r="I11" s="2">
        <v>85</v>
      </c>
      <c r="J11" s="2">
        <v>80</v>
      </c>
      <c r="K11" s="2">
        <v>75</v>
      </c>
      <c r="L11" s="2">
        <v>70</v>
      </c>
      <c r="M11" s="8">
        <v>65</v>
      </c>
    </row>
    <row r="12" spans="2:16" x14ac:dyDescent="0.3">
      <c r="B12" s="23" t="s">
        <v>90</v>
      </c>
      <c r="C12" s="3">
        <v>7147</v>
      </c>
      <c r="D12" s="3">
        <v>7588</v>
      </c>
      <c r="E12" s="3">
        <v>7931</v>
      </c>
      <c r="F12" s="3">
        <v>8634</v>
      </c>
      <c r="G12" s="3">
        <v>9684</v>
      </c>
      <c r="H12" s="3">
        <v>13482</v>
      </c>
      <c r="I12" s="3">
        <v>15396</v>
      </c>
      <c r="J12" s="3">
        <v>17169</v>
      </c>
      <c r="K12" s="3">
        <v>18965</v>
      </c>
      <c r="L12" s="3">
        <v>20758</v>
      </c>
      <c r="M12" s="24">
        <v>22523</v>
      </c>
    </row>
    <row r="13" spans="2:16" x14ac:dyDescent="0.3">
      <c r="B13" s="23" t="s">
        <v>95</v>
      </c>
      <c r="C13" s="4">
        <v>5.7000000000000002E-2</v>
      </c>
      <c r="D13" s="4">
        <v>-4.8000000000000001E-2</v>
      </c>
      <c r="E13" s="4">
        <v>-0.112</v>
      </c>
      <c r="F13" s="4">
        <v>-0.154</v>
      </c>
      <c r="G13" s="4">
        <v>-0.16300000000000001</v>
      </c>
      <c r="H13" s="4">
        <v>0.255</v>
      </c>
      <c r="I13" s="4">
        <v>0.255</v>
      </c>
      <c r="J13" s="4">
        <v>0.255</v>
      </c>
      <c r="K13" s="4">
        <v>0.255</v>
      </c>
      <c r="L13" s="4">
        <v>0.255</v>
      </c>
      <c r="M13" s="32">
        <v>0.255</v>
      </c>
    </row>
    <row r="14" spans="2:16" x14ac:dyDescent="0.3">
      <c r="B14" s="23" t="s">
        <v>25</v>
      </c>
      <c r="C14" s="2">
        <v>409</v>
      </c>
      <c r="D14" s="2">
        <v>-366</v>
      </c>
      <c r="E14" s="2">
        <v>-887</v>
      </c>
      <c r="F14" s="3">
        <v>-1328</v>
      </c>
      <c r="G14" s="3">
        <v>-1570</v>
      </c>
      <c r="H14" s="3">
        <v>3438</v>
      </c>
      <c r="I14" s="3">
        <v>3926</v>
      </c>
      <c r="J14" s="3">
        <v>4378</v>
      </c>
      <c r="K14" s="3">
        <v>4836</v>
      </c>
      <c r="L14" s="3">
        <v>5293</v>
      </c>
      <c r="M14" s="24">
        <v>5743</v>
      </c>
    </row>
    <row r="15" spans="2:16" x14ac:dyDescent="0.3">
      <c r="B15" s="25" t="s">
        <v>96</v>
      </c>
      <c r="C15" s="36">
        <v>6738</v>
      </c>
      <c r="D15" s="36">
        <v>7954</v>
      </c>
      <c r="E15" s="36">
        <v>8818</v>
      </c>
      <c r="F15" s="36">
        <v>9962</v>
      </c>
      <c r="G15" s="36">
        <v>10114</v>
      </c>
      <c r="H15" s="36">
        <v>10044</v>
      </c>
      <c r="I15" s="36">
        <v>11470</v>
      </c>
      <c r="J15" s="36">
        <v>12791</v>
      </c>
      <c r="K15" s="36">
        <v>14129</v>
      </c>
      <c r="L15" s="36">
        <v>15465</v>
      </c>
      <c r="M15" s="34">
        <v>16780</v>
      </c>
    </row>
    <row r="16" spans="2:16" x14ac:dyDescent="0.3">
      <c r="B16" s="2" t="s">
        <v>285</v>
      </c>
      <c r="M16" s="27">
        <f>(('3Stmt_Model'!M5/'3Stmt_Model'!C5)^(1/10)-1)</f>
        <v>9.5067857269569567E-2</v>
      </c>
    </row>
    <row r="17" spans="2:13" x14ac:dyDescent="0.3">
      <c r="M17" s="27"/>
    </row>
    <row r="18" spans="2:13" x14ac:dyDescent="0.3">
      <c r="B18" s="5" t="s">
        <v>86</v>
      </c>
    </row>
    <row r="20" spans="2:13" s="5" customFormat="1" x14ac:dyDescent="0.3">
      <c r="B20" s="11" t="s">
        <v>12</v>
      </c>
      <c r="C20" s="12" t="s">
        <v>92</v>
      </c>
      <c r="D20" s="12" t="s">
        <v>1</v>
      </c>
      <c r="E20" s="12" t="s">
        <v>2</v>
      </c>
      <c r="F20" s="12" t="s">
        <v>3</v>
      </c>
      <c r="G20" s="12" t="s">
        <v>4</v>
      </c>
      <c r="H20" s="12" t="s">
        <v>0</v>
      </c>
      <c r="I20" s="12" t="s">
        <v>56</v>
      </c>
      <c r="J20" s="12" t="s">
        <v>57</v>
      </c>
      <c r="K20" s="12" t="s">
        <v>58</v>
      </c>
      <c r="L20" s="12" t="s">
        <v>59</v>
      </c>
      <c r="M20" s="13" t="s">
        <v>60</v>
      </c>
    </row>
    <row r="21" spans="2:13" x14ac:dyDescent="0.3">
      <c r="B21" s="20" t="s">
        <v>96</v>
      </c>
      <c r="C21" s="35">
        <v>6738</v>
      </c>
      <c r="D21" s="35">
        <v>7954</v>
      </c>
      <c r="E21" s="35">
        <v>8818</v>
      </c>
      <c r="F21" s="35">
        <v>9962</v>
      </c>
      <c r="G21" s="35">
        <v>10114</v>
      </c>
      <c r="H21" s="35">
        <v>10044</v>
      </c>
      <c r="I21" s="35">
        <v>11470</v>
      </c>
      <c r="J21" s="35">
        <v>12791</v>
      </c>
      <c r="K21" s="35">
        <v>14129</v>
      </c>
      <c r="L21" s="35">
        <v>15465</v>
      </c>
      <c r="M21" s="33">
        <v>16780</v>
      </c>
    </row>
    <row r="22" spans="2:13" x14ac:dyDescent="0.3">
      <c r="B22" s="23" t="s">
        <v>48</v>
      </c>
      <c r="C22" s="2">
        <v>800</v>
      </c>
      <c r="D22" s="2">
        <v>900</v>
      </c>
      <c r="E22" s="3">
        <v>1000</v>
      </c>
      <c r="F22" s="3">
        <v>1100</v>
      </c>
      <c r="G22" s="3">
        <v>1200</v>
      </c>
      <c r="H22" s="3">
        <v>1262</v>
      </c>
      <c r="I22" s="3">
        <v>1376</v>
      </c>
      <c r="J22" s="3">
        <v>1500</v>
      </c>
      <c r="K22" s="3">
        <v>1709</v>
      </c>
      <c r="L22" s="3">
        <v>1845</v>
      </c>
      <c r="M22" s="24">
        <v>2088</v>
      </c>
    </row>
    <row r="23" spans="2:13" x14ac:dyDescent="0.3">
      <c r="B23" s="23" t="s">
        <v>49</v>
      </c>
      <c r="C23" s="3">
        <v>1553</v>
      </c>
      <c r="D23" s="3">
        <v>2512</v>
      </c>
      <c r="E23" s="3">
        <v>2753</v>
      </c>
      <c r="F23" s="3">
        <v>3266</v>
      </c>
      <c r="G23" s="3">
        <v>4295</v>
      </c>
      <c r="H23" s="3">
        <v>4700</v>
      </c>
      <c r="I23" s="3">
        <v>5200</v>
      </c>
      <c r="J23" s="3">
        <v>5600</v>
      </c>
      <c r="K23" s="3">
        <v>6100</v>
      </c>
      <c r="L23" s="3">
        <v>6500</v>
      </c>
      <c r="M23" s="24">
        <v>7000</v>
      </c>
    </row>
    <row r="24" spans="2:13" x14ac:dyDescent="0.3">
      <c r="B24" s="23" t="s">
        <v>97</v>
      </c>
      <c r="C24" s="3">
        <v>9500</v>
      </c>
      <c r="D24" s="3">
        <v>11000</v>
      </c>
      <c r="E24" s="3">
        <v>11684</v>
      </c>
      <c r="F24" s="3">
        <v>13000</v>
      </c>
      <c r="G24" s="3">
        <v>15179</v>
      </c>
      <c r="H24" s="3">
        <v>16006</v>
      </c>
      <c r="I24" s="3">
        <v>18046</v>
      </c>
      <c r="J24" s="3">
        <v>19891</v>
      </c>
      <c r="K24" s="3">
        <v>21938</v>
      </c>
      <c r="L24" s="3">
        <v>23810</v>
      </c>
      <c r="M24" s="24">
        <v>25868</v>
      </c>
    </row>
    <row r="25" spans="2:13" x14ac:dyDescent="0.3">
      <c r="B25" s="23" t="s">
        <v>98</v>
      </c>
      <c r="C25" s="3">
        <v>-1200</v>
      </c>
      <c r="D25" s="3">
        <v>-1300</v>
      </c>
      <c r="E25" s="3">
        <v>-1500</v>
      </c>
      <c r="F25" s="3">
        <v>-1700</v>
      </c>
      <c r="G25" s="3">
        <v>-2000</v>
      </c>
      <c r="H25" s="3">
        <v>-1894</v>
      </c>
      <c r="I25" s="3">
        <v>-2064</v>
      </c>
      <c r="J25" s="3">
        <v>-2250</v>
      </c>
      <c r="K25" s="3">
        <v>-2604</v>
      </c>
      <c r="L25" s="3">
        <v>-2812</v>
      </c>
      <c r="M25" s="24">
        <v>-3132</v>
      </c>
    </row>
    <row r="26" spans="2:13" x14ac:dyDescent="0.3">
      <c r="B26" s="23" t="s">
        <v>99</v>
      </c>
      <c r="C26" s="3">
        <v>-1200</v>
      </c>
      <c r="D26" s="3">
        <v>-1300</v>
      </c>
      <c r="E26" s="3">
        <v>-1500</v>
      </c>
      <c r="F26" s="3">
        <v>-1700</v>
      </c>
      <c r="G26" s="3">
        <v>-2000</v>
      </c>
      <c r="H26" s="3">
        <v>-1894</v>
      </c>
      <c r="I26" s="3">
        <v>-2064</v>
      </c>
      <c r="J26" s="3">
        <v>-2250</v>
      </c>
      <c r="K26" s="3">
        <v>-2604</v>
      </c>
      <c r="L26" s="3">
        <v>-2812</v>
      </c>
      <c r="M26" s="24">
        <v>-3132</v>
      </c>
    </row>
    <row r="27" spans="2:13" x14ac:dyDescent="0.3">
      <c r="B27" s="23" t="s">
        <v>52</v>
      </c>
      <c r="C27" s="3">
        <v>-7300</v>
      </c>
      <c r="D27" s="3">
        <v>-8200</v>
      </c>
      <c r="E27" s="3">
        <v>-8900</v>
      </c>
      <c r="F27" s="3">
        <v>-10200</v>
      </c>
      <c r="G27" s="3">
        <v>-10800</v>
      </c>
      <c r="H27" s="3">
        <v>-9500</v>
      </c>
      <c r="I27" s="3">
        <v>-10200</v>
      </c>
      <c r="J27" s="3">
        <v>-11200</v>
      </c>
      <c r="K27" s="3">
        <v>-12300</v>
      </c>
      <c r="L27" s="3">
        <v>-13400</v>
      </c>
      <c r="M27" s="24">
        <v>-14500</v>
      </c>
    </row>
    <row r="28" spans="2:13" x14ac:dyDescent="0.3">
      <c r="B28" s="23" t="s">
        <v>100</v>
      </c>
      <c r="C28" s="2">
        <v>-200</v>
      </c>
      <c r="D28" s="2">
        <v>-300</v>
      </c>
      <c r="E28" s="2">
        <v>-300</v>
      </c>
      <c r="F28" s="2">
        <v>-300</v>
      </c>
      <c r="G28" s="2">
        <v>-200</v>
      </c>
      <c r="H28" s="2">
        <v>-500</v>
      </c>
      <c r="I28" s="2">
        <v>-600</v>
      </c>
      <c r="J28" s="2">
        <v>-700</v>
      </c>
      <c r="K28" s="2">
        <v>-800</v>
      </c>
      <c r="L28" s="2">
        <v>-900</v>
      </c>
      <c r="M28" s="24">
        <v>-1000</v>
      </c>
    </row>
    <row r="29" spans="2:13" x14ac:dyDescent="0.3">
      <c r="B29" s="23" t="s">
        <v>101</v>
      </c>
      <c r="C29" s="3">
        <v>-7500</v>
      </c>
      <c r="D29" s="3">
        <v>-8500</v>
      </c>
      <c r="E29" s="3">
        <v>-9200</v>
      </c>
      <c r="F29" s="3">
        <v>-10500</v>
      </c>
      <c r="G29" s="3">
        <v>-11000</v>
      </c>
      <c r="H29" s="3">
        <v>-10000</v>
      </c>
      <c r="I29" s="3">
        <v>-10800</v>
      </c>
      <c r="J29" s="3">
        <v>-11900</v>
      </c>
      <c r="K29" s="3">
        <v>-13100</v>
      </c>
      <c r="L29" s="3">
        <v>-14300</v>
      </c>
      <c r="M29" s="24">
        <v>-15500</v>
      </c>
    </row>
    <row r="30" spans="2:13" x14ac:dyDescent="0.3">
      <c r="B30" s="25" t="s">
        <v>53</v>
      </c>
      <c r="C30" s="9">
        <v>800</v>
      </c>
      <c r="D30" s="36">
        <v>1200</v>
      </c>
      <c r="E30" s="9">
        <v>984</v>
      </c>
      <c r="F30" s="9">
        <v>800</v>
      </c>
      <c r="G30" s="36">
        <v>2179</v>
      </c>
      <c r="H30" s="36">
        <v>4112</v>
      </c>
      <c r="I30" s="36">
        <v>5182</v>
      </c>
      <c r="J30" s="36">
        <v>5741</v>
      </c>
      <c r="K30" s="36">
        <v>6234</v>
      </c>
      <c r="L30" s="36">
        <v>6698</v>
      </c>
      <c r="M30" s="34">
        <v>7236</v>
      </c>
    </row>
    <row r="32" spans="2:13" x14ac:dyDescent="0.3">
      <c r="B32" s="5" t="s">
        <v>88</v>
      </c>
    </row>
    <row r="33" spans="2:15" x14ac:dyDescent="0.3">
      <c r="B33" s="5"/>
    </row>
    <row r="34" spans="2:15" s="5" customFormat="1" x14ac:dyDescent="0.3">
      <c r="B34" s="5" t="s">
        <v>89</v>
      </c>
    </row>
    <row r="36" spans="2:15" s="5" customFormat="1" x14ac:dyDescent="0.3">
      <c r="B36" s="11" t="s">
        <v>12</v>
      </c>
      <c r="C36" s="12" t="s">
        <v>92</v>
      </c>
      <c r="D36" s="12" t="s">
        <v>1</v>
      </c>
      <c r="E36" s="12" t="s">
        <v>2</v>
      </c>
      <c r="F36" s="12" t="s">
        <v>3</v>
      </c>
      <c r="G36" s="12" t="s">
        <v>4</v>
      </c>
      <c r="H36" s="12" t="s">
        <v>0</v>
      </c>
      <c r="I36" s="12" t="s">
        <v>56</v>
      </c>
      <c r="J36" s="12" t="s">
        <v>57</v>
      </c>
      <c r="K36" s="12" t="s">
        <v>58</v>
      </c>
      <c r="L36" s="12" t="s">
        <v>59</v>
      </c>
      <c r="M36" s="13" t="s">
        <v>60</v>
      </c>
    </row>
    <row r="37" spans="2:15" x14ac:dyDescent="0.3">
      <c r="B37" s="20" t="s">
        <v>102</v>
      </c>
      <c r="C37" s="35">
        <v>5800</v>
      </c>
      <c r="D37" s="35">
        <v>6500</v>
      </c>
      <c r="E37" s="35">
        <v>7200</v>
      </c>
      <c r="F37" s="35">
        <v>8100</v>
      </c>
      <c r="G37" s="35">
        <v>8800</v>
      </c>
      <c r="H37" s="35">
        <v>9432</v>
      </c>
      <c r="I37" s="35">
        <v>10120</v>
      </c>
      <c r="J37" s="35">
        <v>10870</v>
      </c>
      <c r="K37" s="35">
        <v>11765</v>
      </c>
      <c r="L37" s="35">
        <v>12732</v>
      </c>
      <c r="M37" s="33">
        <v>13776</v>
      </c>
    </row>
    <row r="38" spans="2:15" x14ac:dyDescent="0.3">
      <c r="B38" s="23" t="s">
        <v>103</v>
      </c>
      <c r="C38" s="3">
        <v>2100</v>
      </c>
      <c r="D38" s="3">
        <v>3800</v>
      </c>
      <c r="E38" s="3">
        <v>4200</v>
      </c>
      <c r="F38" s="3">
        <v>4500</v>
      </c>
      <c r="G38" s="3">
        <v>4800</v>
      </c>
      <c r="H38" s="3">
        <v>5000</v>
      </c>
      <c r="I38" s="3">
        <v>5200</v>
      </c>
      <c r="J38" s="3">
        <v>5400</v>
      </c>
      <c r="K38" s="3">
        <v>5600</v>
      </c>
      <c r="L38" s="3">
        <v>5800</v>
      </c>
      <c r="M38" s="24">
        <v>6000</v>
      </c>
    </row>
    <row r="39" spans="2:15" x14ac:dyDescent="0.3">
      <c r="B39" s="23" t="s">
        <v>31</v>
      </c>
      <c r="C39" s="3">
        <v>1200</v>
      </c>
      <c r="D39" s="3">
        <v>1500</v>
      </c>
      <c r="E39" s="3">
        <v>1700</v>
      </c>
      <c r="F39" s="3">
        <v>2000</v>
      </c>
      <c r="G39" s="3">
        <v>2200</v>
      </c>
      <c r="H39" s="3">
        <v>2400</v>
      </c>
      <c r="I39" s="3">
        <v>2600</v>
      </c>
      <c r="J39" s="3">
        <v>2800</v>
      </c>
      <c r="K39" s="3">
        <v>3000</v>
      </c>
      <c r="L39" s="3">
        <v>3200</v>
      </c>
      <c r="M39" s="24">
        <v>3400</v>
      </c>
      <c r="O39" s="5"/>
    </row>
    <row r="40" spans="2:15" x14ac:dyDescent="0.3">
      <c r="B40" s="23" t="s">
        <v>32</v>
      </c>
      <c r="C40" s="3">
        <v>1100</v>
      </c>
      <c r="D40" s="3">
        <v>1000</v>
      </c>
      <c r="E40" s="3">
        <v>1200</v>
      </c>
      <c r="F40" s="3">
        <v>1900</v>
      </c>
      <c r="G40" s="3">
        <v>2200</v>
      </c>
      <c r="H40" s="3">
        <v>2300</v>
      </c>
      <c r="I40" s="3">
        <v>2450</v>
      </c>
      <c r="J40" s="3">
        <v>2600</v>
      </c>
      <c r="K40" s="3">
        <v>2750</v>
      </c>
      <c r="L40" s="3">
        <v>2900</v>
      </c>
      <c r="M40" s="24">
        <v>3050</v>
      </c>
    </row>
    <row r="41" spans="2:15" x14ac:dyDescent="0.3">
      <c r="B41" s="23" t="s">
        <v>104</v>
      </c>
      <c r="C41" s="3">
        <v>10200</v>
      </c>
      <c r="D41" s="3">
        <v>12800</v>
      </c>
      <c r="E41" s="3">
        <v>14300</v>
      </c>
      <c r="F41" s="3">
        <v>16500</v>
      </c>
      <c r="G41" s="3">
        <v>18000</v>
      </c>
      <c r="H41" s="3">
        <v>19132</v>
      </c>
      <c r="I41" s="3">
        <v>20370</v>
      </c>
      <c r="J41" s="3">
        <v>21670</v>
      </c>
      <c r="K41" s="3">
        <v>23115</v>
      </c>
      <c r="L41" s="3">
        <v>24632</v>
      </c>
      <c r="M41" s="24">
        <v>26226</v>
      </c>
    </row>
    <row r="42" spans="2:15" x14ac:dyDescent="0.3">
      <c r="B42" s="23" t="s">
        <v>34</v>
      </c>
      <c r="C42" s="3">
        <v>4000</v>
      </c>
      <c r="D42" s="3">
        <v>4500</v>
      </c>
      <c r="E42" s="3">
        <v>5000</v>
      </c>
      <c r="F42" s="3">
        <v>5600</v>
      </c>
      <c r="G42" s="3">
        <v>6000</v>
      </c>
      <c r="H42" s="3">
        <v>6350</v>
      </c>
      <c r="I42" s="3">
        <v>6922</v>
      </c>
      <c r="J42" s="3">
        <v>7545</v>
      </c>
      <c r="K42" s="3">
        <v>8186</v>
      </c>
      <c r="L42" s="3">
        <v>8841</v>
      </c>
      <c r="M42" s="24">
        <v>9548</v>
      </c>
    </row>
    <row r="43" spans="2:15" x14ac:dyDescent="0.3">
      <c r="B43" s="23" t="s">
        <v>105</v>
      </c>
      <c r="C43" s="3">
        <v>1200</v>
      </c>
      <c r="D43" s="3">
        <v>1400</v>
      </c>
      <c r="E43" s="3">
        <v>1600</v>
      </c>
      <c r="F43" s="3">
        <v>1800</v>
      </c>
      <c r="G43" s="3">
        <v>2000</v>
      </c>
      <c r="H43" s="3">
        <v>2120</v>
      </c>
      <c r="I43" s="3">
        <v>2311</v>
      </c>
      <c r="J43" s="3">
        <v>2519</v>
      </c>
      <c r="K43" s="3">
        <v>2733</v>
      </c>
      <c r="L43" s="3">
        <v>2951</v>
      </c>
      <c r="M43" s="24">
        <v>3187</v>
      </c>
    </row>
    <row r="44" spans="2:15" x14ac:dyDescent="0.3">
      <c r="B44" s="23" t="s">
        <v>106</v>
      </c>
      <c r="C44" s="3">
        <v>3200</v>
      </c>
      <c r="D44" s="3">
        <v>3800</v>
      </c>
      <c r="E44" s="3">
        <v>4300</v>
      </c>
      <c r="F44" s="3">
        <v>4900</v>
      </c>
      <c r="G44" s="3">
        <v>5500</v>
      </c>
      <c r="H44" s="3">
        <v>9612</v>
      </c>
      <c r="I44" s="3">
        <v>14794</v>
      </c>
      <c r="J44" s="3">
        <v>20535</v>
      </c>
      <c r="K44" s="3">
        <v>26769</v>
      </c>
      <c r="L44" s="3">
        <v>33467</v>
      </c>
      <c r="M44" s="24">
        <v>40703</v>
      </c>
    </row>
    <row r="45" spans="2:15" x14ac:dyDescent="0.3">
      <c r="B45" s="23" t="s">
        <v>37</v>
      </c>
      <c r="C45" s="3">
        <v>1900</v>
      </c>
      <c r="D45" s="3">
        <v>1500</v>
      </c>
      <c r="E45" s="3">
        <v>1300</v>
      </c>
      <c r="F45" s="3">
        <v>1200</v>
      </c>
      <c r="G45" s="3">
        <v>1000</v>
      </c>
      <c r="H45" s="3">
        <v>1100</v>
      </c>
      <c r="I45" s="3">
        <v>1150</v>
      </c>
      <c r="J45" s="3">
        <v>1200</v>
      </c>
      <c r="K45" s="3">
        <v>1250</v>
      </c>
      <c r="L45" s="3">
        <v>1300</v>
      </c>
      <c r="M45" s="24">
        <v>1350</v>
      </c>
    </row>
    <row r="46" spans="2:15" x14ac:dyDescent="0.3">
      <c r="B46" s="23" t="s">
        <v>107</v>
      </c>
      <c r="C46" s="3">
        <v>10300</v>
      </c>
      <c r="D46" s="3">
        <v>11200</v>
      </c>
      <c r="E46" s="3">
        <v>12200</v>
      </c>
      <c r="F46" s="3">
        <v>13500</v>
      </c>
      <c r="G46" s="3">
        <v>14500</v>
      </c>
      <c r="H46" s="3">
        <v>19182</v>
      </c>
      <c r="I46" s="3">
        <v>25177</v>
      </c>
      <c r="J46" s="3">
        <v>31799</v>
      </c>
      <c r="K46" s="3">
        <v>38938</v>
      </c>
      <c r="L46" s="3">
        <v>46559</v>
      </c>
      <c r="M46" s="24">
        <v>54788</v>
      </c>
    </row>
    <row r="47" spans="2:15" x14ac:dyDescent="0.3">
      <c r="B47" s="25" t="s">
        <v>8</v>
      </c>
      <c r="C47" s="36">
        <v>20500</v>
      </c>
      <c r="D47" s="36">
        <v>24000</v>
      </c>
      <c r="E47" s="36">
        <v>26500</v>
      </c>
      <c r="F47" s="36">
        <v>30000</v>
      </c>
      <c r="G47" s="36">
        <v>32500</v>
      </c>
      <c r="H47" s="36">
        <v>38314</v>
      </c>
      <c r="I47" s="36">
        <v>45547</v>
      </c>
      <c r="J47" s="36">
        <v>53469</v>
      </c>
      <c r="K47" s="36">
        <v>62053</v>
      </c>
      <c r="L47" s="36">
        <v>71191</v>
      </c>
      <c r="M47" s="34">
        <v>81014</v>
      </c>
    </row>
    <row r="49" spans="2:13" s="5" customFormat="1" x14ac:dyDescent="0.3">
      <c r="B49" s="5" t="s">
        <v>46</v>
      </c>
    </row>
    <row r="51" spans="2:13" s="5" customFormat="1" x14ac:dyDescent="0.3">
      <c r="B51" s="11" t="s">
        <v>12</v>
      </c>
      <c r="C51" s="12" t="s">
        <v>92</v>
      </c>
      <c r="D51" s="12" t="s">
        <v>1</v>
      </c>
      <c r="E51" s="12" t="s">
        <v>2</v>
      </c>
      <c r="F51" s="12" t="s">
        <v>3</v>
      </c>
      <c r="G51" s="12" t="s">
        <v>4</v>
      </c>
      <c r="H51" s="12" t="s">
        <v>0</v>
      </c>
      <c r="I51" s="12" t="s">
        <v>56</v>
      </c>
      <c r="J51" s="12" t="s">
        <v>57</v>
      </c>
      <c r="K51" s="12" t="s">
        <v>58</v>
      </c>
      <c r="L51" s="12" t="s">
        <v>59</v>
      </c>
      <c r="M51" s="13" t="s">
        <v>60</v>
      </c>
    </row>
    <row r="52" spans="2:13" x14ac:dyDescent="0.3">
      <c r="B52" s="20" t="s">
        <v>38</v>
      </c>
      <c r="C52" s="21">
        <v>235</v>
      </c>
      <c r="D52" s="21">
        <v>235</v>
      </c>
      <c r="E52" s="21">
        <v>235</v>
      </c>
      <c r="F52" s="21">
        <v>235</v>
      </c>
      <c r="G52" s="21">
        <v>235</v>
      </c>
      <c r="H52" s="21">
        <v>235</v>
      </c>
      <c r="I52" s="21">
        <v>235</v>
      </c>
      <c r="J52" s="21">
        <v>235</v>
      </c>
      <c r="K52" s="21">
        <v>235</v>
      </c>
      <c r="L52" s="21">
        <v>235</v>
      </c>
      <c r="M52" s="22">
        <v>235</v>
      </c>
    </row>
    <row r="53" spans="2:13" x14ac:dyDescent="0.3">
      <c r="B53" s="23" t="s">
        <v>108</v>
      </c>
      <c r="C53" s="3">
        <v>8265</v>
      </c>
      <c r="D53" s="3">
        <v>10265</v>
      </c>
      <c r="E53" s="3">
        <v>12265</v>
      </c>
      <c r="F53" s="3">
        <v>14765</v>
      </c>
      <c r="G53" s="3">
        <v>16265</v>
      </c>
      <c r="H53" s="3">
        <v>20309</v>
      </c>
      <c r="I53" s="3">
        <v>25279</v>
      </c>
      <c r="J53" s="3">
        <v>31070</v>
      </c>
      <c r="K53" s="3">
        <v>37699</v>
      </c>
      <c r="L53" s="3">
        <v>45464</v>
      </c>
      <c r="M53" s="24">
        <v>53744</v>
      </c>
    </row>
    <row r="54" spans="2:13" x14ac:dyDescent="0.3">
      <c r="B54" s="23" t="s">
        <v>91</v>
      </c>
      <c r="C54" s="3">
        <v>8500</v>
      </c>
      <c r="D54" s="3">
        <v>10500</v>
      </c>
      <c r="E54" s="3">
        <v>12500</v>
      </c>
      <c r="F54" s="3">
        <v>15000</v>
      </c>
      <c r="G54" s="3">
        <v>16500</v>
      </c>
      <c r="H54" s="3">
        <v>20544</v>
      </c>
      <c r="I54" s="3">
        <v>25514</v>
      </c>
      <c r="J54" s="3">
        <v>31305</v>
      </c>
      <c r="K54" s="3">
        <v>37934</v>
      </c>
      <c r="L54" s="3">
        <v>45699</v>
      </c>
      <c r="M54" s="24">
        <v>53979</v>
      </c>
    </row>
    <row r="55" spans="2:13" x14ac:dyDescent="0.3">
      <c r="B55" s="23" t="s">
        <v>40</v>
      </c>
      <c r="C55" s="3">
        <v>2000</v>
      </c>
      <c r="D55" s="3">
        <v>2500</v>
      </c>
      <c r="E55" s="3">
        <v>2700</v>
      </c>
      <c r="F55" s="3">
        <v>3000</v>
      </c>
      <c r="G55" s="3">
        <v>3200</v>
      </c>
      <c r="H55" s="3">
        <v>3400</v>
      </c>
      <c r="I55" s="3">
        <v>3700</v>
      </c>
      <c r="J55" s="3">
        <v>4000</v>
      </c>
      <c r="K55" s="3">
        <v>4300</v>
      </c>
      <c r="L55" s="3">
        <v>4600</v>
      </c>
      <c r="M55" s="24">
        <v>4900</v>
      </c>
    </row>
    <row r="56" spans="2:13" x14ac:dyDescent="0.3">
      <c r="B56" s="23" t="s">
        <v>42</v>
      </c>
      <c r="C56" s="3">
        <v>10000</v>
      </c>
      <c r="D56" s="3">
        <v>11000</v>
      </c>
      <c r="E56" s="3">
        <v>11300</v>
      </c>
      <c r="F56" s="3">
        <v>12000</v>
      </c>
      <c r="G56" s="3">
        <v>12800</v>
      </c>
      <c r="H56" s="3">
        <v>14370</v>
      </c>
      <c r="I56" s="3">
        <v>16333</v>
      </c>
      <c r="J56" s="3">
        <v>18164</v>
      </c>
      <c r="K56" s="3">
        <v>19819</v>
      </c>
      <c r="L56" s="3">
        <v>20892</v>
      </c>
      <c r="M56" s="24">
        <v>22135</v>
      </c>
    </row>
    <row r="57" spans="2:13" x14ac:dyDescent="0.3">
      <c r="B57" s="23" t="s">
        <v>10</v>
      </c>
      <c r="C57" s="3">
        <v>12000</v>
      </c>
      <c r="D57" s="3">
        <v>13500</v>
      </c>
      <c r="E57" s="3">
        <v>14000</v>
      </c>
      <c r="F57" s="3">
        <v>15000</v>
      </c>
      <c r="G57" s="3">
        <v>16000</v>
      </c>
      <c r="H57" s="3">
        <v>17770</v>
      </c>
      <c r="I57" s="3">
        <v>20033</v>
      </c>
      <c r="J57" s="3">
        <v>22164</v>
      </c>
      <c r="K57" s="3">
        <v>24119</v>
      </c>
      <c r="L57" s="3">
        <v>25492</v>
      </c>
      <c r="M57" s="24">
        <v>27035</v>
      </c>
    </row>
    <row r="58" spans="2:13" x14ac:dyDescent="0.3">
      <c r="B58" s="25" t="s">
        <v>45</v>
      </c>
      <c r="C58" s="36">
        <v>20500</v>
      </c>
      <c r="D58" s="36">
        <v>24000</v>
      </c>
      <c r="E58" s="36">
        <v>26500</v>
      </c>
      <c r="F58" s="36">
        <v>30000</v>
      </c>
      <c r="G58" s="36">
        <v>32500</v>
      </c>
      <c r="H58" s="36">
        <v>38314</v>
      </c>
      <c r="I58" s="36">
        <v>45547</v>
      </c>
      <c r="J58" s="36">
        <v>53469</v>
      </c>
      <c r="K58" s="36">
        <v>62053</v>
      </c>
      <c r="L58" s="36">
        <v>71191</v>
      </c>
      <c r="M58" s="34">
        <v>81014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6762C-B507-4905-95BA-05FACB7C1946}">
  <dimension ref="B2:G11"/>
  <sheetViews>
    <sheetView workbookViewId="0">
      <selection activeCell="D20" sqref="D20"/>
    </sheetView>
  </sheetViews>
  <sheetFormatPr defaultRowHeight="14.4" x14ac:dyDescent="0.3"/>
  <cols>
    <col min="1" max="1" width="8.88671875" style="2"/>
    <col min="2" max="2" width="23.44140625" style="2" bestFit="1" customWidth="1"/>
    <col min="3" max="16384" width="8.88671875" style="2"/>
  </cols>
  <sheetData>
    <row r="2" spans="2:7" x14ac:dyDescent="0.3">
      <c r="B2" s="14" t="s">
        <v>12</v>
      </c>
      <c r="C2" s="12">
        <v>2020</v>
      </c>
      <c r="D2" s="12">
        <v>2021</v>
      </c>
      <c r="E2" s="12">
        <v>2022</v>
      </c>
      <c r="F2" s="12">
        <v>2023</v>
      </c>
      <c r="G2" s="13">
        <v>2024</v>
      </c>
    </row>
    <row r="3" spans="2:7" x14ac:dyDescent="0.3">
      <c r="B3" s="15" t="s">
        <v>47</v>
      </c>
      <c r="C3" s="2">
        <v>9500</v>
      </c>
      <c r="D3" s="2">
        <v>11000</v>
      </c>
      <c r="E3" s="2">
        <v>11684</v>
      </c>
      <c r="F3" s="2">
        <v>13000</v>
      </c>
      <c r="G3" s="8">
        <v>15179</v>
      </c>
    </row>
    <row r="4" spans="2:7" x14ac:dyDescent="0.3">
      <c r="B4" s="15" t="s">
        <v>24</v>
      </c>
      <c r="C4" s="2">
        <v>7147</v>
      </c>
      <c r="D4" s="2">
        <v>7588</v>
      </c>
      <c r="E4" s="2">
        <v>7931</v>
      </c>
      <c r="F4" s="2">
        <v>8634</v>
      </c>
      <c r="G4" s="8">
        <v>9684</v>
      </c>
    </row>
    <row r="5" spans="2:7" x14ac:dyDescent="0.3">
      <c r="B5" s="15" t="s">
        <v>48</v>
      </c>
      <c r="C5" s="2">
        <v>800</v>
      </c>
      <c r="D5" s="2">
        <v>900</v>
      </c>
      <c r="E5" s="2">
        <v>1000</v>
      </c>
      <c r="F5" s="2">
        <v>1100</v>
      </c>
      <c r="G5" s="8">
        <v>1200</v>
      </c>
    </row>
    <row r="6" spans="2:7" x14ac:dyDescent="0.3">
      <c r="B6" s="15" t="s">
        <v>49</v>
      </c>
      <c r="C6" s="2">
        <v>1553</v>
      </c>
      <c r="D6" s="2">
        <v>2512</v>
      </c>
      <c r="E6" s="2">
        <v>2753</v>
      </c>
      <c r="F6" s="2">
        <v>3266</v>
      </c>
      <c r="G6" s="8">
        <v>4295</v>
      </c>
    </row>
    <row r="7" spans="2:7" x14ac:dyDescent="0.3">
      <c r="B7" s="15" t="s">
        <v>50</v>
      </c>
      <c r="C7" s="2">
        <v>-1200</v>
      </c>
      <c r="D7" s="2">
        <v>-1300</v>
      </c>
      <c r="E7" s="2">
        <v>-1500</v>
      </c>
      <c r="F7" s="2">
        <v>-1700</v>
      </c>
      <c r="G7" s="8">
        <v>-2000</v>
      </c>
    </row>
    <row r="8" spans="2:7" x14ac:dyDescent="0.3">
      <c r="B8" s="15" t="s">
        <v>11</v>
      </c>
      <c r="C8" s="2">
        <v>-1200</v>
      </c>
      <c r="D8" s="2">
        <v>-1300</v>
      </c>
      <c r="E8" s="2">
        <v>-1500</v>
      </c>
      <c r="F8" s="2">
        <v>-1700</v>
      </c>
      <c r="G8" s="8">
        <v>-2000</v>
      </c>
    </row>
    <row r="9" spans="2:7" x14ac:dyDescent="0.3">
      <c r="B9" s="15" t="s">
        <v>51</v>
      </c>
      <c r="C9" s="2">
        <v>-7500</v>
      </c>
      <c r="D9" s="2">
        <v>-8500</v>
      </c>
      <c r="E9" s="2">
        <v>-9200</v>
      </c>
      <c r="F9" s="2">
        <v>-10500</v>
      </c>
      <c r="G9" s="8">
        <v>-11000</v>
      </c>
    </row>
    <row r="10" spans="2:7" x14ac:dyDescent="0.3">
      <c r="B10" s="15" t="s">
        <v>52</v>
      </c>
      <c r="C10" s="2">
        <v>-7300</v>
      </c>
      <c r="D10" s="2">
        <v>-8200</v>
      </c>
      <c r="E10" s="2">
        <v>-8900</v>
      </c>
      <c r="F10" s="2">
        <v>-10200</v>
      </c>
      <c r="G10" s="8">
        <v>-10800</v>
      </c>
    </row>
    <row r="11" spans="2:7" x14ac:dyDescent="0.3">
      <c r="B11" s="16" t="s">
        <v>53</v>
      </c>
      <c r="C11" s="9">
        <v>800</v>
      </c>
      <c r="D11" s="9">
        <v>1200</v>
      </c>
      <c r="E11" s="9">
        <v>984</v>
      </c>
      <c r="F11" s="9">
        <v>800</v>
      </c>
      <c r="G11" s="10">
        <v>2179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2102A-55B7-4382-A8B3-3E8F817B97DF}">
  <dimension ref="B2:G26"/>
  <sheetViews>
    <sheetView workbookViewId="0">
      <selection activeCell="I17" sqref="I17"/>
    </sheetView>
  </sheetViews>
  <sheetFormatPr defaultRowHeight="14.4" x14ac:dyDescent="0.3"/>
  <cols>
    <col min="1" max="1" width="8.88671875" style="2"/>
    <col min="2" max="2" width="25.6640625" style="2" bestFit="1" customWidth="1"/>
    <col min="3" max="16384" width="8.88671875" style="2"/>
  </cols>
  <sheetData>
    <row r="2" spans="2:7" x14ac:dyDescent="0.3">
      <c r="B2" s="14" t="s">
        <v>12</v>
      </c>
      <c r="C2" s="6">
        <v>2020</v>
      </c>
      <c r="D2" s="6">
        <v>2021</v>
      </c>
      <c r="E2" s="6">
        <v>2022</v>
      </c>
      <c r="F2" s="6">
        <v>2023</v>
      </c>
      <c r="G2" s="7">
        <v>2024</v>
      </c>
    </row>
    <row r="3" spans="2:7" x14ac:dyDescent="0.3">
      <c r="B3" s="11" t="s">
        <v>27</v>
      </c>
      <c r="C3" s="17"/>
      <c r="D3" s="17"/>
      <c r="E3" s="17"/>
      <c r="F3" s="17"/>
      <c r="G3" s="18"/>
    </row>
    <row r="4" spans="2:7" x14ac:dyDescent="0.3">
      <c r="B4" s="19" t="s">
        <v>28</v>
      </c>
      <c r="C4" s="2">
        <v>10200</v>
      </c>
      <c r="D4" s="2">
        <v>12800</v>
      </c>
      <c r="E4" s="2">
        <v>14300</v>
      </c>
      <c r="F4" s="2">
        <v>16500</v>
      </c>
      <c r="G4" s="8">
        <v>18000</v>
      </c>
    </row>
    <row r="5" spans="2:7" x14ac:dyDescent="0.3">
      <c r="B5" s="15" t="s">
        <v>29</v>
      </c>
      <c r="C5" s="2">
        <v>5800</v>
      </c>
      <c r="D5" s="2">
        <v>6500</v>
      </c>
      <c r="E5" s="2">
        <v>7200</v>
      </c>
      <c r="F5" s="2">
        <v>8100</v>
      </c>
      <c r="G5" s="8">
        <v>8800</v>
      </c>
    </row>
    <row r="6" spans="2:7" x14ac:dyDescent="0.3">
      <c r="B6" s="15" t="s">
        <v>30</v>
      </c>
      <c r="C6" s="2">
        <v>2100</v>
      </c>
      <c r="D6" s="2">
        <v>3800</v>
      </c>
      <c r="E6" s="2">
        <v>4200</v>
      </c>
      <c r="F6" s="2">
        <v>4500</v>
      </c>
      <c r="G6" s="8">
        <v>4800</v>
      </c>
    </row>
    <row r="7" spans="2:7" x14ac:dyDescent="0.3">
      <c r="B7" s="15" t="s">
        <v>31</v>
      </c>
      <c r="C7" s="2">
        <v>1200</v>
      </c>
      <c r="D7" s="2">
        <v>1500</v>
      </c>
      <c r="E7" s="2">
        <v>1700</v>
      </c>
      <c r="F7" s="2">
        <v>2000</v>
      </c>
      <c r="G7" s="8">
        <v>2200</v>
      </c>
    </row>
    <row r="8" spans="2:7" x14ac:dyDescent="0.3">
      <c r="B8" s="15" t="s">
        <v>32</v>
      </c>
      <c r="C8" s="2">
        <v>1100</v>
      </c>
      <c r="D8" s="2">
        <v>1000</v>
      </c>
      <c r="E8" s="2">
        <v>1200</v>
      </c>
      <c r="F8" s="2">
        <v>1900</v>
      </c>
      <c r="G8" s="8">
        <v>2200</v>
      </c>
    </row>
    <row r="9" spans="2:7" x14ac:dyDescent="0.3">
      <c r="B9" s="15" t="s">
        <v>33</v>
      </c>
      <c r="C9" s="2">
        <v>10300</v>
      </c>
      <c r="D9" s="2">
        <v>11200</v>
      </c>
      <c r="E9" s="2">
        <v>12200</v>
      </c>
      <c r="F9" s="2">
        <v>13500</v>
      </c>
      <c r="G9" s="8">
        <v>14500</v>
      </c>
    </row>
    <row r="10" spans="2:7" x14ac:dyDescent="0.3">
      <c r="B10" s="15" t="s">
        <v>34</v>
      </c>
      <c r="C10" s="2">
        <v>4000</v>
      </c>
      <c r="D10" s="2">
        <v>4500</v>
      </c>
      <c r="E10" s="2">
        <v>5000</v>
      </c>
      <c r="F10" s="2">
        <v>5600</v>
      </c>
      <c r="G10" s="8">
        <v>6000</v>
      </c>
    </row>
    <row r="11" spans="2:7" x14ac:dyDescent="0.3">
      <c r="B11" s="15" t="s">
        <v>35</v>
      </c>
      <c r="C11" s="2">
        <v>1200</v>
      </c>
      <c r="D11" s="2">
        <v>1400</v>
      </c>
      <c r="E11" s="2">
        <v>1600</v>
      </c>
      <c r="F11" s="2">
        <v>1800</v>
      </c>
      <c r="G11" s="8">
        <v>2000</v>
      </c>
    </row>
    <row r="12" spans="2:7" x14ac:dyDescent="0.3">
      <c r="B12" s="15" t="s">
        <v>36</v>
      </c>
      <c r="C12" s="2">
        <v>3200</v>
      </c>
      <c r="D12" s="2">
        <v>3800</v>
      </c>
      <c r="E12" s="2">
        <v>4300</v>
      </c>
      <c r="F12" s="2">
        <v>4900</v>
      </c>
      <c r="G12" s="8">
        <v>5500</v>
      </c>
    </row>
    <row r="13" spans="2:7" x14ac:dyDescent="0.3">
      <c r="B13" s="15" t="s">
        <v>37</v>
      </c>
      <c r="C13" s="2">
        <v>1900</v>
      </c>
      <c r="D13" s="2">
        <v>1500</v>
      </c>
      <c r="E13" s="2">
        <v>1300</v>
      </c>
      <c r="F13" s="2">
        <v>1200</v>
      </c>
      <c r="G13" s="8">
        <v>1000</v>
      </c>
    </row>
    <row r="14" spans="2:7" x14ac:dyDescent="0.3">
      <c r="B14" s="16" t="s">
        <v>8</v>
      </c>
      <c r="C14" s="2">
        <v>20500</v>
      </c>
      <c r="D14" s="2">
        <v>24000</v>
      </c>
      <c r="E14" s="2">
        <v>26500</v>
      </c>
      <c r="F14" s="2">
        <v>30000</v>
      </c>
      <c r="G14" s="8">
        <v>32500</v>
      </c>
    </row>
    <row r="15" spans="2:7" x14ac:dyDescent="0.3">
      <c r="B15" s="11" t="s">
        <v>46</v>
      </c>
      <c r="C15" s="17"/>
      <c r="D15" s="17"/>
      <c r="E15" s="17"/>
      <c r="F15" s="17"/>
      <c r="G15" s="18"/>
    </row>
    <row r="16" spans="2:7" x14ac:dyDescent="0.3">
      <c r="B16" s="19" t="s">
        <v>12</v>
      </c>
      <c r="C16" s="2">
        <v>2020</v>
      </c>
      <c r="D16" s="2">
        <v>2021</v>
      </c>
      <c r="E16" s="2">
        <v>2022</v>
      </c>
      <c r="F16" s="2">
        <v>2023</v>
      </c>
      <c r="G16" s="8">
        <v>2024</v>
      </c>
    </row>
    <row r="17" spans="2:7" x14ac:dyDescent="0.3">
      <c r="B17" s="15" t="s">
        <v>9</v>
      </c>
      <c r="C17" s="2">
        <v>8500</v>
      </c>
      <c r="D17" s="2">
        <v>10500</v>
      </c>
      <c r="E17" s="2">
        <v>12500</v>
      </c>
      <c r="F17" s="2">
        <v>15000</v>
      </c>
      <c r="G17" s="8">
        <v>16500</v>
      </c>
    </row>
    <row r="18" spans="2:7" x14ac:dyDescent="0.3">
      <c r="B18" s="15" t="s">
        <v>38</v>
      </c>
      <c r="C18" s="2">
        <v>235</v>
      </c>
      <c r="D18" s="2">
        <v>235</v>
      </c>
      <c r="E18" s="2">
        <v>235</v>
      </c>
      <c r="F18" s="2">
        <v>235</v>
      </c>
      <c r="G18" s="8">
        <v>235</v>
      </c>
    </row>
    <row r="19" spans="2:7" x14ac:dyDescent="0.3">
      <c r="B19" s="15" t="s">
        <v>39</v>
      </c>
      <c r="C19" s="2">
        <v>8265</v>
      </c>
      <c r="D19" s="2">
        <v>10265</v>
      </c>
      <c r="E19" s="2">
        <v>12265</v>
      </c>
      <c r="F19" s="2">
        <v>14765</v>
      </c>
      <c r="G19" s="8">
        <v>16265</v>
      </c>
    </row>
    <row r="20" spans="2:7" x14ac:dyDescent="0.3">
      <c r="B20" s="15" t="s">
        <v>40</v>
      </c>
      <c r="C20" s="2">
        <v>2000</v>
      </c>
      <c r="D20" s="2">
        <v>2500</v>
      </c>
      <c r="E20" s="2">
        <v>2700</v>
      </c>
      <c r="F20" s="2">
        <v>3000</v>
      </c>
      <c r="G20" s="8">
        <v>3200</v>
      </c>
    </row>
    <row r="21" spans="2:7" x14ac:dyDescent="0.3">
      <c r="B21" s="15" t="s">
        <v>41</v>
      </c>
      <c r="C21" s="2">
        <v>2000</v>
      </c>
      <c r="D21" s="2">
        <v>2500</v>
      </c>
      <c r="E21" s="2">
        <v>2700</v>
      </c>
      <c r="F21" s="2">
        <v>3000</v>
      </c>
      <c r="G21" s="8">
        <v>3200</v>
      </c>
    </row>
    <row r="22" spans="2:7" x14ac:dyDescent="0.3">
      <c r="B22" s="15" t="s">
        <v>42</v>
      </c>
      <c r="C22" s="2">
        <v>10000</v>
      </c>
      <c r="D22" s="2">
        <v>11000</v>
      </c>
      <c r="E22" s="2">
        <v>11300</v>
      </c>
      <c r="F22" s="2">
        <v>12000</v>
      </c>
      <c r="G22" s="8">
        <v>12800</v>
      </c>
    </row>
    <row r="23" spans="2:7" x14ac:dyDescent="0.3">
      <c r="B23" s="15" t="s">
        <v>43</v>
      </c>
      <c r="C23" s="2">
        <v>6500</v>
      </c>
      <c r="D23" s="2">
        <v>7200</v>
      </c>
      <c r="E23" s="2">
        <v>7500</v>
      </c>
      <c r="F23" s="2">
        <v>8000</v>
      </c>
      <c r="G23" s="8">
        <v>8500</v>
      </c>
    </row>
    <row r="24" spans="2:7" x14ac:dyDescent="0.3">
      <c r="B24" s="15" t="s">
        <v>44</v>
      </c>
      <c r="C24" s="2">
        <v>3500</v>
      </c>
      <c r="D24" s="2">
        <v>3800</v>
      </c>
      <c r="E24" s="2">
        <v>3800</v>
      </c>
      <c r="F24" s="2">
        <v>4000</v>
      </c>
      <c r="G24" s="8">
        <v>4300</v>
      </c>
    </row>
    <row r="25" spans="2:7" x14ac:dyDescent="0.3">
      <c r="B25" s="15" t="s">
        <v>10</v>
      </c>
      <c r="C25" s="2">
        <v>12000</v>
      </c>
      <c r="D25" s="2">
        <v>13500</v>
      </c>
      <c r="E25" s="2">
        <v>14000</v>
      </c>
      <c r="F25" s="2">
        <v>15000</v>
      </c>
      <c r="G25" s="8">
        <v>16000</v>
      </c>
    </row>
    <row r="26" spans="2:7" x14ac:dyDescent="0.3">
      <c r="B26" s="16" t="s">
        <v>45</v>
      </c>
      <c r="C26" s="9">
        <v>20500</v>
      </c>
      <c r="D26" s="9">
        <v>24000</v>
      </c>
      <c r="E26" s="9">
        <v>26500</v>
      </c>
      <c r="F26" s="9">
        <v>30000</v>
      </c>
      <c r="G26" s="10">
        <v>32500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E1CEA-10BA-4A5B-B073-6CA2F9E58C8C}">
  <dimension ref="A2:V17"/>
  <sheetViews>
    <sheetView workbookViewId="0">
      <selection activeCell="I13" sqref="I13"/>
    </sheetView>
  </sheetViews>
  <sheetFormatPr defaultRowHeight="14.4" x14ac:dyDescent="0.3"/>
  <cols>
    <col min="1" max="1" width="8.88671875" style="2"/>
    <col min="2" max="2" width="24.5546875" style="2" bestFit="1" customWidth="1"/>
    <col min="3" max="22" width="8.88671875" style="2"/>
  </cols>
  <sheetData>
    <row r="2" spans="2:7" x14ac:dyDescent="0.3">
      <c r="B2" s="14" t="s">
        <v>12</v>
      </c>
      <c r="C2" s="12">
        <v>2020</v>
      </c>
      <c r="D2" s="12">
        <v>2021</v>
      </c>
      <c r="E2" s="12">
        <v>2022</v>
      </c>
      <c r="F2" s="12">
        <v>2023</v>
      </c>
      <c r="G2" s="13">
        <v>2024</v>
      </c>
    </row>
    <row r="3" spans="2:7" x14ac:dyDescent="0.3">
      <c r="B3" s="15" t="s">
        <v>13</v>
      </c>
      <c r="C3" s="3">
        <v>38273</v>
      </c>
      <c r="D3" s="3">
        <v>45311</v>
      </c>
      <c r="E3" s="3">
        <v>50336</v>
      </c>
      <c r="F3" s="3">
        <v>58154</v>
      </c>
      <c r="G3" s="24">
        <v>59579</v>
      </c>
    </row>
    <row r="4" spans="2:7" x14ac:dyDescent="0.3">
      <c r="B4" s="15" t="s">
        <v>14</v>
      </c>
      <c r="C4" s="2">
        <v>1124</v>
      </c>
      <c r="D4" s="2">
        <v>1297</v>
      </c>
      <c r="E4" s="2">
        <v>1505</v>
      </c>
      <c r="F4" s="2">
        <v>1780</v>
      </c>
      <c r="G4" s="8">
        <v>1950</v>
      </c>
    </row>
    <row r="5" spans="2:7" x14ac:dyDescent="0.3">
      <c r="B5" s="15" t="s">
        <v>15</v>
      </c>
      <c r="C5" s="2">
        <v>39397</v>
      </c>
      <c r="D5" s="2">
        <v>46608</v>
      </c>
      <c r="E5" s="2">
        <v>51841</v>
      </c>
      <c r="F5" s="2">
        <v>59934</v>
      </c>
      <c r="G5" s="8">
        <v>61529</v>
      </c>
    </row>
    <row r="6" spans="2:7" x14ac:dyDescent="0.3">
      <c r="B6" s="15" t="s">
        <v>16</v>
      </c>
      <c r="C6" s="3">
        <v>16500</v>
      </c>
      <c r="D6" s="3">
        <v>19800</v>
      </c>
      <c r="E6" s="3">
        <v>22600</v>
      </c>
      <c r="F6" s="3">
        <v>26900</v>
      </c>
      <c r="G6" s="24">
        <v>27400</v>
      </c>
    </row>
    <row r="7" spans="2:7" x14ac:dyDescent="0.3">
      <c r="B7" s="15" t="s">
        <v>17</v>
      </c>
      <c r="C7" s="2">
        <v>2300</v>
      </c>
      <c r="D7" s="2">
        <v>3200</v>
      </c>
      <c r="E7" s="2">
        <v>3800</v>
      </c>
      <c r="F7" s="2">
        <v>4200</v>
      </c>
      <c r="G7" s="8">
        <v>4400</v>
      </c>
    </row>
    <row r="8" spans="2:7" x14ac:dyDescent="0.3">
      <c r="B8" s="15" t="s">
        <v>18</v>
      </c>
      <c r="C8" s="2">
        <v>-500</v>
      </c>
      <c r="D8" s="2">
        <v>-600</v>
      </c>
      <c r="E8" s="2">
        <v>-700</v>
      </c>
      <c r="F8" s="2">
        <v>-800</v>
      </c>
      <c r="G8" s="8">
        <v>-850</v>
      </c>
    </row>
    <row r="9" spans="2:7" x14ac:dyDescent="0.3">
      <c r="B9" s="15" t="s">
        <v>19</v>
      </c>
      <c r="C9" s="2">
        <v>2800</v>
      </c>
      <c r="D9" s="2">
        <v>3100</v>
      </c>
      <c r="E9" s="2">
        <v>3300</v>
      </c>
      <c r="F9" s="2">
        <v>3600</v>
      </c>
      <c r="G9" s="8">
        <v>3800</v>
      </c>
    </row>
    <row r="10" spans="2:7" x14ac:dyDescent="0.3">
      <c r="B10" s="15" t="s">
        <v>20</v>
      </c>
      <c r="C10" s="2">
        <v>10200</v>
      </c>
      <c r="D10" s="2">
        <v>12500</v>
      </c>
      <c r="E10" s="2">
        <v>13800</v>
      </c>
      <c r="F10" s="2">
        <v>16200</v>
      </c>
      <c r="G10" s="8">
        <v>16800</v>
      </c>
    </row>
    <row r="11" spans="2:7" x14ac:dyDescent="0.3">
      <c r="B11" s="15" t="s">
        <v>21</v>
      </c>
      <c r="C11" s="2">
        <v>8097</v>
      </c>
      <c r="D11" s="2">
        <v>8608</v>
      </c>
      <c r="E11" s="2">
        <v>9041</v>
      </c>
      <c r="F11" s="2">
        <v>9834</v>
      </c>
      <c r="G11" s="8">
        <v>10979</v>
      </c>
    </row>
    <row r="12" spans="2:7" x14ac:dyDescent="0.3">
      <c r="B12" s="15" t="s">
        <v>22</v>
      </c>
      <c r="C12" s="2">
        <v>800</v>
      </c>
      <c r="D12" s="2">
        <v>900</v>
      </c>
      <c r="E12" s="2">
        <v>1000</v>
      </c>
      <c r="F12" s="2">
        <v>1100</v>
      </c>
      <c r="G12" s="8">
        <v>1200</v>
      </c>
    </row>
    <row r="13" spans="2:7" x14ac:dyDescent="0.3">
      <c r="B13" s="15" t="s">
        <v>7</v>
      </c>
      <c r="C13" s="2">
        <v>7297</v>
      </c>
      <c r="D13" s="2">
        <v>7708</v>
      </c>
      <c r="E13" s="2">
        <v>8041</v>
      </c>
      <c r="F13" s="2">
        <v>8734</v>
      </c>
      <c r="G13" s="8">
        <v>9779</v>
      </c>
    </row>
    <row r="14" spans="2:7" x14ac:dyDescent="0.3">
      <c r="B14" s="15" t="s">
        <v>23</v>
      </c>
      <c r="C14" s="2">
        <v>150</v>
      </c>
      <c r="D14" s="2">
        <v>120</v>
      </c>
      <c r="E14" s="2">
        <v>110</v>
      </c>
      <c r="F14" s="2">
        <v>100</v>
      </c>
      <c r="G14" s="8">
        <v>95</v>
      </c>
    </row>
    <row r="15" spans="2:7" x14ac:dyDescent="0.3">
      <c r="B15" s="15" t="s">
        <v>24</v>
      </c>
      <c r="C15" s="2">
        <v>7147</v>
      </c>
      <c r="D15" s="2">
        <v>7588</v>
      </c>
      <c r="E15" s="2">
        <v>7931</v>
      </c>
      <c r="F15" s="2">
        <v>8634</v>
      </c>
      <c r="G15" s="8">
        <v>9684</v>
      </c>
    </row>
    <row r="16" spans="2:7" x14ac:dyDescent="0.3">
      <c r="B16" s="15" t="s">
        <v>25</v>
      </c>
      <c r="C16" s="2">
        <v>409</v>
      </c>
      <c r="D16" s="2">
        <v>-366</v>
      </c>
      <c r="E16" s="2">
        <v>-887</v>
      </c>
      <c r="F16" s="2">
        <v>-1328</v>
      </c>
      <c r="G16" s="8">
        <v>-1570</v>
      </c>
    </row>
    <row r="17" spans="2:7" x14ac:dyDescent="0.3">
      <c r="B17" s="16" t="s">
        <v>26</v>
      </c>
      <c r="C17" s="9">
        <v>6738</v>
      </c>
      <c r="D17" s="9">
        <v>7954</v>
      </c>
      <c r="E17" s="9">
        <v>8818</v>
      </c>
      <c r="F17" s="9">
        <v>9962</v>
      </c>
      <c r="G17" s="10">
        <v>10114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1317B-6B2B-4EE7-BFC8-D96050E8C39C}">
  <dimension ref="B2:I12"/>
  <sheetViews>
    <sheetView workbookViewId="0">
      <selection activeCell="C18" sqref="C18"/>
    </sheetView>
  </sheetViews>
  <sheetFormatPr defaultRowHeight="14.4" x14ac:dyDescent="0.3"/>
  <cols>
    <col min="1" max="1" width="8.88671875" style="2"/>
    <col min="2" max="2" width="14.44140625" style="2" bestFit="1" customWidth="1"/>
    <col min="3" max="3" width="24.44140625" style="2" bestFit="1" customWidth="1"/>
    <col min="4" max="8" width="8.88671875" style="2"/>
    <col min="9" max="9" width="40.88671875" style="2" bestFit="1" customWidth="1"/>
    <col min="10" max="16384" width="8.88671875" style="2"/>
  </cols>
  <sheetData>
    <row r="2" spans="2:9" x14ac:dyDescent="0.3">
      <c r="B2" s="14" t="s">
        <v>54</v>
      </c>
      <c r="C2" s="12" t="s">
        <v>55</v>
      </c>
      <c r="D2" s="12" t="s">
        <v>56</v>
      </c>
      <c r="E2" s="12" t="s">
        <v>57</v>
      </c>
      <c r="F2" s="12" t="s">
        <v>58</v>
      </c>
      <c r="G2" s="12" t="s">
        <v>59</v>
      </c>
      <c r="H2" s="12" t="s">
        <v>60</v>
      </c>
      <c r="I2" s="13" t="s">
        <v>5</v>
      </c>
    </row>
    <row r="3" spans="2:9" x14ac:dyDescent="0.3">
      <c r="B3" s="15" t="s">
        <v>61</v>
      </c>
      <c r="C3" s="2" t="s">
        <v>62</v>
      </c>
      <c r="D3" s="4">
        <v>0.09</v>
      </c>
      <c r="E3" s="4">
        <v>0.09</v>
      </c>
      <c r="F3" s="4">
        <v>8.5000000000000006E-2</v>
      </c>
      <c r="G3" s="4">
        <v>0.08</v>
      </c>
      <c r="H3" s="4">
        <v>0.08</v>
      </c>
      <c r="I3" s="8" t="s">
        <v>63</v>
      </c>
    </row>
    <row r="4" spans="2:9" x14ac:dyDescent="0.3">
      <c r="B4" s="15" t="s">
        <v>61</v>
      </c>
      <c r="C4" s="2" t="s">
        <v>64</v>
      </c>
      <c r="D4" s="4">
        <v>0.245</v>
      </c>
      <c r="E4" s="4">
        <v>0.25</v>
      </c>
      <c r="F4" s="4">
        <v>0.255</v>
      </c>
      <c r="G4" s="4">
        <v>0.25800000000000001</v>
      </c>
      <c r="H4" s="4">
        <v>0.26</v>
      </c>
      <c r="I4" s="8" t="s">
        <v>65</v>
      </c>
    </row>
    <row r="5" spans="2:9" x14ac:dyDescent="0.3">
      <c r="B5" s="15" t="s">
        <v>61</v>
      </c>
      <c r="C5" s="2" t="s">
        <v>66</v>
      </c>
      <c r="D5" s="4">
        <v>0.02</v>
      </c>
      <c r="E5" s="4">
        <v>0.02</v>
      </c>
      <c r="F5" s="4">
        <v>2.1000000000000001E-2</v>
      </c>
      <c r="G5" s="4">
        <v>2.1000000000000001E-2</v>
      </c>
      <c r="H5" s="4">
        <v>2.1999999999999999E-2</v>
      </c>
      <c r="I5" s="8" t="s">
        <v>67</v>
      </c>
    </row>
    <row r="6" spans="2:9" x14ac:dyDescent="0.3">
      <c r="B6" s="15" t="s">
        <v>68</v>
      </c>
      <c r="C6" s="2" t="s">
        <v>69</v>
      </c>
      <c r="D6" s="4">
        <v>0.03</v>
      </c>
      <c r="E6" s="4">
        <v>0.03</v>
      </c>
      <c r="F6" s="4">
        <v>3.2000000000000001E-2</v>
      </c>
      <c r="G6" s="4">
        <v>3.2000000000000001E-2</v>
      </c>
      <c r="H6" s="4">
        <v>3.3000000000000002E-2</v>
      </c>
      <c r="I6" s="8" t="s">
        <v>70</v>
      </c>
    </row>
    <row r="7" spans="2:9" x14ac:dyDescent="0.3">
      <c r="B7" s="15" t="s">
        <v>71</v>
      </c>
      <c r="C7" s="2" t="s">
        <v>72</v>
      </c>
      <c r="D7" s="4">
        <v>-0.05</v>
      </c>
      <c r="E7" s="4">
        <v>-5.1999999999999998E-2</v>
      </c>
      <c r="F7" s="4">
        <v>-5.5E-2</v>
      </c>
      <c r="G7" s="4">
        <v>-5.5E-2</v>
      </c>
      <c r="H7" s="4">
        <v>-5.5E-2</v>
      </c>
      <c r="I7" s="8" t="s">
        <v>73</v>
      </c>
    </row>
    <row r="8" spans="2:9" x14ac:dyDescent="0.3">
      <c r="B8" s="15" t="s">
        <v>74</v>
      </c>
      <c r="C8" s="2" t="s">
        <v>75</v>
      </c>
      <c r="D8" s="4">
        <v>0.255</v>
      </c>
      <c r="E8" s="4">
        <v>0.255</v>
      </c>
      <c r="F8" s="4">
        <v>0.255</v>
      </c>
      <c r="G8" s="4">
        <v>0.255</v>
      </c>
      <c r="H8" s="4">
        <v>0.255</v>
      </c>
      <c r="I8" s="8" t="s">
        <v>76</v>
      </c>
    </row>
    <row r="9" spans="2:9" x14ac:dyDescent="0.3">
      <c r="B9" s="15" t="s">
        <v>77</v>
      </c>
      <c r="C9" s="2" t="s">
        <v>78</v>
      </c>
      <c r="D9" s="4">
        <v>7.0000000000000007E-2</v>
      </c>
      <c r="E9" s="4">
        <v>7.0000000000000007E-2</v>
      </c>
      <c r="F9" s="4">
        <v>7.0000000000000007E-2</v>
      </c>
      <c r="G9" s="4">
        <v>7.0000000000000007E-2</v>
      </c>
      <c r="H9" s="4">
        <v>7.0000000000000007E-2</v>
      </c>
      <c r="I9" s="8" t="s">
        <v>79</v>
      </c>
    </row>
    <row r="10" spans="2:9" x14ac:dyDescent="0.3">
      <c r="B10" s="15" t="s">
        <v>77</v>
      </c>
      <c r="C10" s="2" t="s">
        <v>80</v>
      </c>
      <c r="D10" s="4">
        <v>0.06</v>
      </c>
      <c r="E10" s="4">
        <v>0.06</v>
      </c>
      <c r="F10" s="4">
        <v>0.06</v>
      </c>
      <c r="G10" s="4">
        <v>0.06</v>
      </c>
      <c r="H10" s="4">
        <v>0.06</v>
      </c>
      <c r="I10" s="8" t="s">
        <v>81</v>
      </c>
    </row>
    <row r="11" spans="2:9" x14ac:dyDescent="0.3">
      <c r="B11" s="15" t="s">
        <v>77</v>
      </c>
      <c r="C11" s="2" t="s">
        <v>82</v>
      </c>
      <c r="D11" s="2">
        <v>0.7</v>
      </c>
      <c r="E11" s="2">
        <v>0.7</v>
      </c>
      <c r="F11" s="2">
        <v>0.7</v>
      </c>
      <c r="G11" s="2">
        <v>0.7</v>
      </c>
      <c r="H11" s="2">
        <v>0.7</v>
      </c>
      <c r="I11" s="8" t="s">
        <v>83</v>
      </c>
    </row>
    <row r="12" spans="2:9" x14ac:dyDescent="0.3">
      <c r="B12" s="16" t="s">
        <v>77</v>
      </c>
      <c r="C12" s="9" t="s">
        <v>84</v>
      </c>
      <c r="D12" s="26">
        <v>4.4999999999999998E-2</v>
      </c>
      <c r="E12" s="26">
        <v>4.4999999999999998E-2</v>
      </c>
      <c r="F12" s="26">
        <v>4.4999999999999998E-2</v>
      </c>
      <c r="G12" s="26">
        <v>4.4999999999999998E-2</v>
      </c>
      <c r="H12" s="26">
        <v>4.4999999999999998E-2</v>
      </c>
      <c r="I12" s="10" t="s">
        <v>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A1BBA-4EE7-4F1A-9731-28D118A0858A}">
  <dimension ref="B2:M29"/>
  <sheetViews>
    <sheetView workbookViewId="0">
      <selection activeCell="B17" sqref="B17:D29"/>
    </sheetView>
  </sheetViews>
  <sheetFormatPr defaultRowHeight="14.4" x14ac:dyDescent="0.3"/>
  <cols>
    <col min="2" max="2" width="12.5546875" bestFit="1" customWidth="1"/>
    <col min="3" max="3" width="14.88671875" bestFit="1" customWidth="1"/>
    <col min="4" max="4" width="13.6640625" bestFit="1" customWidth="1"/>
  </cols>
  <sheetData>
    <row r="2" spans="2:13" x14ac:dyDescent="0.3">
      <c r="B2" t="s">
        <v>290</v>
      </c>
      <c r="C2" t="s">
        <v>6</v>
      </c>
      <c r="D2" t="s">
        <v>93</v>
      </c>
      <c r="E2" t="s">
        <v>94</v>
      </c>
      <c r="F2" t="s">
        <v>21</v>
      </c>
      <c r="G2" t="s">
        <v>48</v>
      </c>
      <c r="H2" t="s">
        <v>7</v>
      </c>
      <c r="I2" t="s">
        <v>23</v>
      </c>
      <c r="J2" t="s">
        <v>90</v>
      </c>
      <c r="K2" t="s">
        <v>95</v>
      </c>
      <c r="L2" t="s">
        <v>25</v>
      </c>
      <c r="M2" t="s">
        <v>96</v>
      </c>
    </row>
    <row r="3" spans="2:13" x14ac:dyDescent="0.3">
      <c r="B3" t="s">
        <v>92</v>
      </c>
      <c r="C3">
        <v>38273</v>
      </c>
      <c r="E3">
        <v>0.21199999999999999</v>
      </c>
      <c r="F3">
        <v>8097</v>
      </c>
      <c r="G3">
        <v>800</v>
      </c>
      <c r="H3">
        <v>7297</v>
      </c>
      <c r="I3">
        <v>150</v>
      </c>
      <c r="J3">
        <v>7147</v>
      </c>
      <c r="K3">
        <v>5.7000000000000002E-2</v>
      </c>
      <c r="L3">
        <v>409</v>
      </c>
      <c r="M3">
        <v>6738</v>
      </c>
    </row>
    <row r="4" spans="2:13" x14ac:dyDescent="0.3">
      <c r="B4" t="s">
        <v>1</v>
      </c>
      <c r="C4">
        <v>45311</v>
      </c>
      <c r="D4">
        <v>0.184</v>
      </c>
      <c r="E4">
        <v>0.19</v>
      </c>
      <c r="F4">
        <v>8608</v>
      </c>
      <c r="G4">
        <v>900</v>
      </c>
      <c r="H4">
        <v>7708</v>
      </c>
      <c r="I4">
        <v>120</v>
      </c>
      <c r="J4">
        <v>7588</v>
      </c>
      <c r="K4">
        <v>-4.8000000000000001E-2</v>
      </c>
      <c r="L4">
        <v>-366</v>
      </c>
      <c r="M4">
        <v>7954</v>
      </c>
    </row>
    <row r="5" spans="2:13" x14ac:dyDescent="0.3">
      <c r="B5" t="s">
        <v>2</v>
      </c>
      <c r="C5">
        <v>50336</v>
      </c>
      <c r="D5">
        <v>0.111</v>
      </c>
      <c r="E5">
        <v>0.18</v>
      </c>
      <c r="F5">
        <v>9041</v>
      </c>
      <c r="G5">
        <v>1000</v>
      </c>
      <c r="H5">
        <v>8041</v>
      </c>
      <c r="I5">
        <v>110</v>
      </c>
      <c r="J5">
        <v>7931</v>
      </c>
      <c r="K5">
        <v>-0.112</v>
      </c>
      <c r="L5">
        <v>-887</v>
      </c>
      <c r="M5">
        <v>8818</v>
      </c>
    </row>
    <row r="6" spans="2:13" x14ac:dyDescent="0.3">
      <c r="B6" t="s">
        <v>3</v>
      </c>
      <c r="C6">
        <v>58154</v>
      </c>
      <c r="D6">
        <v>0.155</v>
      </c>
      <c r="E6">
        <v>0.16900000000000001</v>
      </c>
      <c r="F6">
        <v>9834</v>
      </c>
      <c r="G6">
        <v>1100</v>
      </c>
      <c r="H6">
        <v>8734</v>
      </c>
      <c r="I6">
        <v>100</v>
      </c>
      <c r="J6">
        <v>8634</v>
      </c>
      <c r="K6">
        <v>-0.154</v>
      </c>
      <c r="L6">
        <v>-1328</v>
      </c>
      <c r="M6">
        <v>9962</v>
      </c>
    </row>
    <row r="7" spans="2:13" x14ac:dyDescent="0.3">
      <c r="B7" t="s">
        <v>4</v>
      </c>
      <c r="C7">
        <v>59579</v>
      </c>
      <c r="D7">
        <v>2.5000000000000001E-2</v>
      </c>
      <c r="E7">
        <v>0.184</v>
      </c>
      <c r="F7">
        <v>10979</v>
      </c>
      <c r="G7">
        <v>1200</v>
      </c>
      <c r="H7">
        <v>9779</v>
      </c>
      <c r="I7">
        <v>95</v>
      </c>
      <c r="J7">
        <v>9684</v>
      </c>
      <c r="K7">
        <v>-0.16300000000000001</v>
      </c>
      <c r="L7">
        <v>-1570</v>
      </c>
      <c r="M7">
        <v>10114</v>
      </c>
    </row>
    <row r="8" spans="2:13" x14ac:dyDescent="0.3">
      <c r="B8" t="s">
        <v>0</v>
      </c>
      <c r="C8">
        <v>63121</v>
      </c>
      <c r="D8">
        <v>5.8999999999999997E-2</v>
      </c>
      <c r="E8">
        <v>0.23499999999999999</v>
      </c>
      <c r="F8">
        <v>14834</v>
      </c>
      <c r="G8">
        <v>1262</v>
      </c>
      <c r="H8">
        <v>13572</v>
      </c>
      <c r="I8">
        <v>90</v>
      </c>
      <c r="J8">
        <v>13482</v>
      </c>
      <c r="K8">
        <v>0.255</v>
      </c>
      <c r="L8">
        <v>3438</v>
      </c>
      <c r="M8">
        <v>10044</v>
      </c>
    </row>
    <row r="9" spans="2:13" x14ac:dyDescent="0.3">
      <c r="B9" t="s">
        <v>56</v>
      </c>
      <c r="C9">
        <v>68802</v>
      </c>
      <c r="D9">
        <v>0.09</v>
      </c>
      <c r="E9">
        <v>0.245</v>
      </c>
      <c r="F9">
        <v>16857</v>
      </c>
      <c r="G9">
        <v>1376</v>
      </c>
      <c r="H9">
        <v>15481</v>
      </c>
      <c r="I9">
        <v>85</v>
      </c>
      <c r="J9">
        <v>15396</v>
      </c>
      <c r="K9">
        <v>0.255</v>
      </c>
      <c r="L9">
        <v>3926</v>
      </c>
      <c r="M9">
        <v>11470</v>
      </c>
    </row>
    <row r="10" spans="2:13" x14ac:dyDescent="0.3">
      <c r="B10" t="s">
        <v>57</v>
      </c>
      <c r="C10">
        <v>74994</v>
      </c>
      <c r="D10">
        <v>0.09</v>
      </c>
      <c r="E10">
        <v>0.25</v>
      </c>
      <c r="F10">
        <v>18749</v>
      </c>
      <c r="G10">
        <v>1500</v>
      </c>
      <c r="H10">
        <v>17249</v>
      </c>
      <c r="I10">
        <v>80</v>
      </c>
      <c r="J10">
        <v>17169</v>
      </c>
      <c r="K10">
        <v>0.255</v>
      </c>
      <c r="L10">
        <v>4378</v>
      </c>
      <c r="M10">
        <v>12791</v>
      </c>
    </row>
    <row r="11" spans="2:13" x14ac:dyDescent="0.3">
      <c r="B11" t="s">
        <v>58</v>
      </c>
      <c r="C11">
        <v>81368</v>
      </c>
      <c r="D11">
        <v>8.5000000000000006E-2</v>
      </c>
      <c r="E11">
        <v>0.255</v>
      </c>
      <c r="F11">
        <v>20749</v>
      </c>
      <c r="G11">
        <v>1709</v>
      </c>
      <c r="H11">
        <v>19040</v>
      </c>
      <c r="I11">
        <v>75</v>
      </c>
      <c r="J11">
        <v>18965</v>
      </c>
      <c r="K11">
        <v>0.255</v>
      </c>
      <c r="L11">
        <v>4836</v>
      </c>
      <c r="M11">
        <v>14129</v>
      </c>
    </row>
    <row r="12" spans="2:13" x14ac:dyDescent="0.3">
      <c r="B12" t="s">
        <v>59</v>
      </c>
      <c r="C12">
        <v>87878</v>
      </c>
      <c r="D12">
        <v>0.08</v>
      </c>
      <c r="E12">
        <v>0.25800000000000001</v>
      </c>
      <c r="F12">
        <v>22673</v>
      </c>
      <c r="G12">
        <v>1845</v>
      </c>
      <c r="H12">
        <v>20828</v>
      </c>
      <c r="I12">
        <v>70</v>
      </c>
      <c r="J12">
        <v>20758</v>
      </c>
      <c r="K12">
        <v>0.255</v>
      </c>
      <c r="L12">
        <v>5293</v>
      </c>
      <c r="M12">
        <v>15465</v>
      </c>
    </row>
    <row r="13" spans="2:13" x14ac:dyDescent="0.3">
      <c r="B13" t="s">
        <v>60</v>
      </c>
      <c r="C13">
        <v>94908</v>
      </c>
      <c r="D13">
        <v>0.08</v>
      </c>
      <c r="E13">
        <v>0.26</v>
      </c>
      <c r="F13">
        <v>24676</v>
      </c>
      <c r="G13">
        <v>2088</v>
      </c>
      <c r="H13">
        <v>22588</v>
      </c>
      <c r="I13">
        <v>65</v>
      </c>
      <c r="J13">
        <v>22523</v>
      </c>
      <c r="K13">
        <v>0.255</v>
      </c>
      <c r="L13">
        <v>5743</v>
      </c>
      <c r="M13">
        <v>16780</v>
      </c>
    </row>
    <row r="17" spans="2:4" x14ac:dyDescent="0.3">
      <c r="B17" s="28" t="s">
        <v>286</v>
      </c>
      <c r="C17" t="s">
        <v>288</v>
      </c>
      <c r="D17" t="s">
        <v>289</v>
      </c>
    </row>
    <row r="18" spans="2:4" x14ac:dyDescent="0.3">
      <c r="B18" s="29" t="s">
        <v>92</v>
      </c>
      <c r="C18">
        <v>38273</v>
      </c>
      <c r="D18">
        <v>8097</v>
      </c>
    </row>
    <row r="19" spans="2:4" x14ac:dyDescent="0.3">
      <c r="B19" s="29" t="s">
        <v>1</v>
      </c>
      <c r="C19">
        <v>45311</v>
      </c>
      <c r="D19">
        <v>8608</v>
      </c>
    </row>
    <row r="20" spans="2:4" x14ac:dyDescent="0.3">
      <c r="B20" s="29" t="s">
        <v>2</v>
      </c>
      <c r="C20">
        <v>50336</v>
      </c>
      <c r="D20">
        <v>9041</v>
      </c>
    </row>
    <row r="21" spans="2:4" x14ac:dyDescent="0.3">
      <c r="B21" s="29" t="s">
        <v>3</v>
      </c>
      <c r="C21">
        <v>58154</v>
      </c>
      <c r="D21">
        <v>9834</v>
      </c>
    </row>
    <row r="22" spans="2:4" x14ac:dyDescent="0.3">
      <c r="B22" s="29" t="s">
        <v>4</v>
      </c>
      <c r="C22">
        <v>59579</v>
      </c>
      <c r="D22">
        <v>10979</v>
      </c>
    </row>
    <row r="23" spans="2:4" x14ac:dyDescent="0.3">
      <c r="B23" s="29" t="s">
        <v>0</v>
      </c>
      <c r="C23">
        <v>63121</v>
      </c>
      <c r="D23">
        <v>14834</v>
      </c>
    </row>
    <row r="24" spans="2:4" x14ac:dyDescent="0.3">
      <c r="B24" s="29" t="s">
        <v>56</v>
      </c>
      <c r="C24">
        <v>68802</v>
      </c>
      <c r="D24">
        <v>16857</v>
      </c>
    </row>
    <row r="25" spans="2:4" x14ac:dyDescent="0.3">
      <c r="B25" s="29" t="s">
        <v>57</v>
      </c>
      <c r="C25">
        <v>74994</v>
      </c>
      <c r="D25">
        <v>18749</v>
      </c>
    </row>
    <row r="26" spans="2:4" x14ac:dyDescent="0.3">
      <c r="B26" s="29" t="s">
        <v>58</v>
      </c>
      <c r="C26">
        <v>81368</v>
      </c>
      <c r="D26">
        <v>20749</v>
      </c>
    </row>
    <row r="27" spans="2:4" x14ac:dyDescent="0.3">
      <c r="B27" s="29" t="s">
        <v>59</v>
      </c>
      <c r="C27">
        <v>87878</v>
      </c>
      <c r="D27">
        <v>22673</v>
      </c>
    </row>
    <row r="28" spans="2:4" x14ac:dyDescent="0.3">
      <c r="B28" s="29" t="s">
        <v>60</v>
      </c>
      <c r="C28">
        <v>94908</v>
      </c>
      <c r="D28">
        <v>24676</v>
      </c>
    </row>
    <row r="29" spans="2:4" x14ac:dyDescent="0.3">
      <c r="B29" s="29" t="s">
        <v>287</v>
      </c>
      <c r="C29">
        <v>722724</v>
      </c>
      <c r="D29">
        <v>165097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63D87-2CC5-4C06-B400-B360975C983B}">
  <dimension ref="B2:E37"/>
  <sheetViews>
    <sheetView topLeftCell="A22" workbookViewId="0">
      <selection activeCell="B34" sqref="B34:C37"/>
    </sheetView>
  </sheetViews>
  <sheetFormatPr defaultRowHeight="14.4" x14ac:dyDescent="0.3"/>
  <sheetData>
    <row r="2" spans="2:4" x14ac:dyDescent="0.3">
      <c r="B2" t="s">
        <v>291</v>
      </c>
      <c r="C2" t="s">
        <v>6</v>
      </c>
      <c r="D2" t="s">
        <v>21</v>
      </c>
    </row>
    <row r="3" spans="2:4" x14ac:dyDescent="0.3">
      <c r="B3" t="s">
        <v>92</v>
      </c>
      <c r="C3">
        <v>38273</v>
      </c>
      <c r="D3">
        <v>8097</v>
      </c>
    </row>
    <row r="4" spans="2:4" x14ac:dyDescent="0.3">
      <c r="B4" t="s">
        <v>1</v>
      </c>
      <c r="C4">
        <v>45311</v>
      </c>
      <c r="D4">
        <v>8608</v>
      </c>
    </row>
    <row r="5" spans="2:4" x14ac:dyDescent="0.3">
      <c r="B5" t="s">
        <v>2</v>
      </c>
      <c r="C5">
        <v>50336</v>
      </c>
      <c r="D5">
        <v>9041</v>
      </c>
    </row>
    <row r="6" spans="2:4" x14ac:dyDescent="0.3">
      <c r="B6" t="s">
        <v>3</v>
      </c>
      <c r="C6">
        <v>58154</v>
      </c>
      <c r="D6">
        <v>9834</v>
      </c>
    </row>
    <row r="7" spans="2:4" x14ac:dyDescent="0.3">
      <c r="B7" t="s">
        <v>4</v>
      </c>
      <c r="C7">
        <v>59579</v>
      </c>
      <c r="D7">
        <v>10979</v>
      </c>
    </row>
    <row r="8" spans="2:4" x14ac:dyDescent="0.3">
      <c r="B8" t="s">
        <v>0</v>
      </c>
      <c r="C8">
        <v>63121</v>
      </c>
      <c r="D8">
        <v>14834</v>
      </c>
    </row>
    <row r="9" spans="2:4" x14ac:dyDescent="0.3">
      <c r="B9" t="s">
        <v>56</v>
      </c>
      <c r="C9">
        <v>68802</v>
      </c>
      <c r="D9">
        <v>16857</v>
      </c>
    </row>
    <row r="10" spans="2:4" x14ac:dyDescent="0.3">
      <c r="B10" t="s">
        <v>57</v>
      </c>
      <c r="C10">
        <v>74994</v>
      </c>
      <c r="D10">
        <v>18749</v>
      </c>
    </row>
    <row r="11" spans="2:4" x14ac:dyDescent="0.3">
      <c r="B11" t="s">
        <v>58</v>
      </c>
      <c r="C11">
        <v>81368</v>
      </c>
      <c r="D11">
        <v>20749</v>
      </c>
    </row>
    <row r="12" spans="2:4" x14ac:dyDescent="0.3">
      <c r="B12" t="s">
        <v>59</v>
      </c>
      <c r="C12">
        <v>87878</v>
      </c>
      <c r="D12">
        <v>22673</v>
      </c>
    </row>
    <row r="13" spans="2:4" x14ac:dyDescent="0.3">
      <c r="B13" t="s">
        <v>60</v>
      </c>
      <c r="C13">
        <v>94908</v>
      </c>
      <c r="D13">
        <v>24676</v>
      </c>
    </row>
    <row r="14" spans="2:4" x14ac:dyDescent="0.3">
      <c r="B14" t="s">
        <v>287</v>
      </c>
      <c r="C14">
        <v>722724</v>
      </c>
      <c r="D14">
        <v>165097</v>
      </c>
    </row>
    <row r="20" spans="2:5" x14ac:dyDescent="0.3">
      <c r="B20" t="s">
        <v>291</v>
      </c>
      <c r="C20" t="s">
        <v>94</v>
      </c>
      <c r="D20" t="s">
        <v>166</v>
      </c>
      <c r="E20" t="s">
        <v>167</v>
      </c>
    </row>
    <row r="21" spans="2:5" x14ac:dyDescent="0.3">
      <c r="B21" t="s">
        <v>92</v>
      </c>
      <c r="C21">
        <v>0.21199999999999999</v>
      </c>
      <c r="D21">
        <v>0.191</v>
      </c>
      <c r="E21">
        <v>0.17599999999999999</v>
      </c>
    </row>
    <row r="22" spans="2:5" x14ac:dyDescent="0.3">
      <c r="B22" t="s">
        <v>1</v>
      </c>
      <c r="C22">
        <v>0.19</v>
      </c>
      <c r="D22">
        <v>0.17</v>
      </c>
      <c r="E22">
        <v>0.17599999999999999</v>
      </c>
    </row>
    <row r="23" spans="2:5" x14ac:dyDescent="0.3">
      <c r="B23" t="s">
        <v>2</v>
      </c>
      <c r="C23">
        <v>0.18</v>
      </c>
      <c r="D23">
        <v>0.16</v>
      </c>
      <c r="E23">
        <v>0.17499999999999999</v>
      </c>
    </row>
    <row r="24" spans="2:5" x14ac:dyDescent="0.3">
      <c r="B24" t="s">
        <v>3</v>
      </c>
      <c r="C24">
        <v>0.16900000000000001</v>
      </c>
      <c r="D24">
        <v>0.15</v>
      </c>
      <c r="E24">
        <v>0.17100000000000001</v>
      </c>
    </row>
    <row r="25" spans="2:5" x14ac:dyDescent="0.3">
      <c r="B25" t="s">
        <v>4</v>
      </c>
      <c r="C25">
        <v>0.184</v>
      </c>
      <c r="D25">
        <v>0.16400000000000001</v>
      </c>
      <c r="E25">
        <v>0.17</v>
      </c>
    </row>
    <row r="26" spans="2:5" x14ac:dyDescent="0.3">
      <c r="B26" t="s">
        <v>0</v>
      </c>
      <c r="C26">
        <v>0.23499999999999999</v>
      </c>
      <c r="D26">
        <v>0.215</v>
      </c>
      <c r="E26">
        <v>0.159</v>
      </c>
    </row>
    <row r="27" spans="2:5" x14ac:dyDescent="0.3">
      <c r="B27" t="s">
        <v>56</v>
      </c>
      <c r="C27">
        <v>0.245</v>
      </c>
      <c r="D27">
        <v>0.22500000000000001</v>
      </c>
      <c r="E27">
        <v>0.16700000000000001</v>
      </c>
    </row>
    <row r="28" spans="2:5" x14ac:dyDescent="0.3">
      <c r="B28" t="s">
        <v>57</v>
      </c>
      <c r="C28">
        <v>0.25</v>
      </c>
      <c r="D28">
        <v>0.23</v>
      </c>
      <c r="E28">
        <v>0.17100000000000001</v>
      </c>
    </row>
    <row r="29" spans="2:5" x14ac:dyDescent="0.3">
      <c r="B29" t="s">
        <v>58</v>
      </c>
      <c r="C29">
        <v>0.255</v>
      </c>
      <c r="D29">
        <v>0.23400000000000001</v>
      </c>
      <c r="E29">
        <v>0.17399999999999999</v>
      </c>
    </row>
    <row r="30" spans="2:5" x14ac:dyDescent="0.3">
      <c r="B30" t="s">
        <v>59</v>
      </c>
      <c r="C30">
        <v>0.25800000000000001</v>
      </c>
      <c r="D30">
        <v>0.23699999999999999</v>
      </c>
      <c r="E30">
        <v>0.17599999999999999</v>
      </c>
    </row>
    <row r="31" spans="2:5" x14ac:dyDescent="0.3">
      <c r="B31" t="s">
        <v>60</v>
      </c>
      <c r="C31">
        <v>0.26</v>
      </c>
      <c r="D31">
        <v>0.23799999999999999</v>
      </c>
      <c r="E31">
        <v>0.17699999999999999</v>
      </c>
    </row>
    <row r="34" spans="2:3" x14ac:dyDescent="0.3">
      <c r="B34" t="s">
        <v>292</v>
      </c>
      <c r="C34" t="s">
        <v>115</v>
      </c>
    </row>
    <row r="35" spans="2:3" x14ac:dyDescent="0.3">
      <c r="B35" t="s">
        <v>293</v>
      </c>
      <c r="C35" s="1">
        <v>47180</v>
      </c>
    </row>
    <row r="36" spans="2:3" x14ac:dyDescent="0.3">
      <c r="B36" t="s">
        <v>144</v>
      </c>
      <c r="C36" s="1">
        <v>161578</v>
      </c>
    </row>
    <row r="37" spans="2:3" x14ac:dyDescent="0.3">
      <c r="B37" t="s">
        <v>145</v>
      </c>
      <c r="C37" s="1">
        <v>208758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Cover</vt:lpstr>
      <vt:lpstr>Dashboard</vt:lpstr>
      <vt:lpstr>Ratio_Analysis</vt:lpstr>
      <vt:lpstr> DCF</vt:lpstr>
      <vt:lpstr>3Stmt_Model</vt:lpstr>
      <vt:lpstr>Historical_CF</vt:lpstr>
      <vt:lpstr>Historical_BS</vt:lpstr>
      <vt:lpstr>Historical_IS</vt:lpstr>
      <vt:lpstr>Assumptions</vt:lpstr>
      <vt:lpstr>Sheet8</vt:lpstr>
      <vt:lpstr>Sheet9</vt:lpstr>
      <vt:lpstr>Income_Statement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Aparna Ashish</cp:lastModifiedBy>
  <dcterms:created xsi:type="dcterms:W3CDTF">2015-06-05T18:17:20Z</dcterms:created>
  <dcterms:modified xsi:type="dcterms:W3CDTF">2026-05-08T20:10:29Z</dcterms:modified>
</cp:coreProperties>
</file>